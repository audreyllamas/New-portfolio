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udre\Downloads\new portfolio\"/>
    </mc:Choice>
  </mc:AlternateContent>
  <xr:revisionPtr revIDLastSave="0" documentId="13_ncr:1_{B728CF89-1309-4497-B14C-532C756EAFD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TART HERE" sheetId="1" r:id="rId1"/>
    <sheet name="SETTINGS" sheetId="2" r:id="rId2"/>
    <sheet name="STUDENT LIST" sheetId="3" r:id="rId3"/>
    <sheet name="ATTENDANCE" sheetId="4" r:id="rId4"/>
    <sheet name="SCORES" sheetId="5" r:id="rId5"/>
    <sheet name="GRADEBOOK" sheetId="6" r:id="rId6"/>
    <sheet name="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7" l="1"/>
  <c r="A3" i="7"/>
  <c r="H55" i="6"/>
  <c r="I55" i="6" s="1"/>
  <c r="B55" i="6"/>
  <c r="N55" i="6" s="1"/>
  <c r="O55" i="6" s="1"/>
  <c r="P54" i="6"/>
  <c r="N54" i="6"/>
  <c r="O54" i="6" s="1"/>
  <c r="H54" i="6"/>
  <c r="I54" i="6" s="1"/>
  <c r="B54" i="6"/>
  <c r="Q54" i="6" s="1"/>
  <c r="U53" i="6"/>
  <c r="T53" i="6"/>
  <c r="S53" i="6"/>
  <c r="N53" i="6"/>
  <c r="O53" i="6" s="1"/>
  <c r="H53" i="6"/>
  <c r="I53" i="6" s="1"/>
  <c r="G53" i="6"/>
  <c r="F53" i="6"/>
  <c r="B53" i="6"/>
  <c r="R53" i="6" s="1"/>
  <c r="R52" i="6"/>
  <c r="N52" i="6"/>
  <c r="O52" i="6" s="1"/>
  <c r="M52" i="6"/>
  <c r="L52" i="6"/>
  <c r="F52" i="6"/>
  <c r="G52" i="6" s="1"/>
  <c r="D52" i="6"/>
  <c r="E52" i="6" s="1"/>
  <c r="B52" i="6"/>
  <c r="T51" i="6"/>
  <c r="P51" i="6"/>
  <c r="L51" i="6"/>
  <c r="M51" i="6" s="1"/>
  <c r="F51" i="6"/>
  <c r="G51" i="6" s="1"/>
  <c r="D51" i="6"/>
  <c r="E51" i="6" s="1"/>
  <c r="B51" i="6"/>
  <c r="Q51" i="6" s="1"/>
  <c r="U50" i="6"/>
  <c r="R50" i="6"/>
  <c r="J50" i="6"/>
  <c r="K50" i="6" s="1"/>
  <c r="I50" i="6"/>
  <c r="H50" i="6"/>
  <c r="D50" i="6"/>
  <c r="E50" i="6" s="1"/>
  <c r="B50" i="6"/>
  <c r="L50" i="6" s="1"/>
  <c r="M50" i="6" s="1"/>
  <c r="J49" i="6"/>
  <c r="K49" i="6" s="1"/>
  <c r="B49" i="6"/>
  <c r="N49" i="6" s="1"/>
  <c r="O49" i="6" s="1"/>
  <c r="U48" i="6"/>
  <c r="T48" i="6"/>
  <c r="S48" i="6"/>
  <c r="N48" i="6"/>
  <c r="O48" i="6" s="1"/>
  <c r="L48" i="6"/>
  <c r="M48" i="6" s="1"/>
  <c r="H48" i="6"/>
  <c r="I48" i="6" s="1"/>
  <c r="G48" i="6"/>
  <c r="F48" i="6"/>
  <c r="D48" i="6"/>
  <c r="E48" i="6" s="1"/>
  <c r="B48" i="6"/>
  <c r="Q48" i="6" s="1"/>
  <c r="T47" i="6"/>
  <c r="R47" i="6"/>
  <c r="N47" i="6"/>
  <c r="O47" i="6" s="1"/>
  <c r="L47" i="6"/>
  <c r="M47" i="6" s="1"/>
  <c r="J47" i="6"/>
  <c r="K47" i="6" s="1"/>
  <c r="I47" i="6"/>
  <c r="H47" i="6"/>
  <c r="F47" i="6"/>
  <c r="G47" i="6" s="1"/>
  <c r="D47" i="6"/>
  <c r="E47" i="6" s="1"/>
  <c r="B47" i="6"/>
  <c r="U47" i="6" s="1"/>
  <c r="R46" i="6"/>
  <c r="Q46" i="6"/>
  <c r="O46" i="6"/>
  <c r="N46" i="6"/>
  <c r="L46" i="6"/>
  <c r="M46" i="6" s="1"/>
  <c r="D46" i="6"/>
  <c r="E46" i="6" s="1"/>
  <c r="B46" i="6"/>
  <c r="J46" i="6" s="1"/>
  <c r="K46" i="6" s="1"/>
  <c r="U45" i="6"/>
  <c r="T45" i="6"/>
  <c r="G45" i="6"/>
  <c r="F45" i="6"/>
  <c r="B45" i="6"/>
  <c r="Q45" i="6" s="1"/>
  <c r="L44" i="6"/>
  <c r="M44" i="6" s="1"/>
  <c r="J44" i="6"/>
  <c r="K44" i="6" s="1"/>
  <c r="H44" i="6"/>
  <c r="I44" i="6" s="1"/>
  <c r="B44" i="6"/>
  <c r="Q44" i="6" s="1"/>
  <c r="T43" i="6"/>
  <c r="Q43" i="6"/>
  <c r="B43" i="6"/>
  <c r="N43" i="6" s="1"/>
  <c r="O43" i="6" s="1"/>
  <c r="T42" i="6"/>
  <c r="L42" i="6"/>
  <c r="M42" i="6" s="1"/>
  <c r="K42" i="6"/>
  <c r="J42" i="6"/>
  <c r="I42" i="6"/>
  <c r="H42" i="6"/>
  <c r="F42" i="6"/>
  <c r="G42" i="6" s="1"/>
  <c r="B42" i="6"/>
  <c r="Q42" i="6" s="1"/>
  <c r="R41" i="6"/>
  <c r="Q41" i="6"/>
  <c r="O41" i="6"/>
  <c r="N41" i="6"/>
  <c r="J41" i="6"/>
  <c r="K41" i="6" s="1"/>
  <c r="D41" i="6"/>
  <c r="E41" i="6" s="1"/>
  <c r="B41" i="6"/>
  <c r="T40" i="6"/>
  <c r="R40" i="6"/>
  <c r="H40" i="6"/>
  <c r="I40" i="6" s="1"/>
  <c r="E40" i="6"/>
  <c r="D40" i="6"/>
  <c r="B40" i="6"/>
  <c r="N40" i="6" s="1"/>
  <c r="O40" i="6" s="1"/>
  <c r="T39" i="6"/>
  <c r="N39" i="6"/>
  <c r="O39" i="6" s="1"/>
  <c r="M39" i="6"/>
  <c r="L39" i="6"/>
  <c r="K39" i="6"/>
  <c r="J39" i="6"/>
  <c r="H39" i="6"/>
  <c r="I39" i="6" s="1"/>
  <c r="F39" i="6"/>
  <c r="G39" i="6" s="1"/>
  <c r="B39" i="6"/>
  <c r="Q39" i="6" s="1"/>
  <c r="Q38" i="6"/>
  <c r="H38" i="6"/>
  <c r="I38" i="6" s="1"/>
  <c r="B38" i="6"/>
  <c r="U38" i="6" s="1"/>
  <c r="S38" i="6" s="1"/>
  <c r="R37" i="6"/>
  <c r="N37" i="6"/>
  <c r="O37" i="6" s="1"/>
  <c r="L37" i="6"/>
  <c r="M37" i="6" s="1"/>
  <c r="K37" i="6"/>
  <c r="J37" i="6"/>
  <c r="H37" i="6"/>
  <c r="I37" i="6" s="1"/>
  <c r="F37" i="6"/>
  <c r="G37" i="6" s="1"/>
  <c r="D37" i="6"/>
  <c r="E37" i="6" s="1"/>
  <c r="B37" i="6"/>
  <c r="T36" i="6"/>
  <c r="P36" i="6"/>
  <c r="M36" i="6"/>
  <c r="L36" i="6"/>
  <c r="J36" i="6"/>
  <c r="K36" i="6" s="1"/>
  <c r="F36" i="6"/>
  <c r="G36" i="6" s="1"/>
  <c r="B36" i="6"/>
  <c r="Q36" i="6" s="1"/>
  <c r="U35" i="6"/>
  <c r="S35" i="6"/>
  <c r="R35" i="6"/>
  <c r="J35" i="6"/>
  <c r="K35" i="6" s="1"/>
  <c r="E35" i="6"/>
  <c r="D35" i="6"/>
  <c r="B35" i="6"/>
  <c r="H35" i="6" s="1"/>
  <c r="I35" i="6" s="1"/>
  <c r="Q34" i="6"/>
  <c r="N34" i="6"/>
  <c r="O34" i="6" s="1"/>
  <c r="L34" i="6"/>
  <c r="M34" i="6" s="1"/>
  <c r="H34" i="6"/>
  <c r="I34" i="6" s="1"/>
  <c r="D34" i="6"/>
  <c r="E34" i="6" s="1"/>
  <c r="B34" i="6"/>
  <c r="U34" i="6" s="1"/>
  <c r="U33" i="6"/>
  <c r="S33" i="6"/>
  <c r="R33" i="6"/>
  <c r="H33" i="6"/>
  <c r="I33" i="6" s="1"/>
  <c r="F33" i="6"/>
  <c r="G33" i="6" s="1"/>
  <c r="D33" i="6"/>
  <c r="E33" i="6" s="1"/>
  <c r="B33" i="6"/>
  <c r="Q33" i="6" s="1"/>
  <c r="R32" i="6"/>
  <c r="L32" i="6"/>
  <c r="M32" i="6" s="1"/>
  <c r="B32" i="6"/>
  <c r="Q32" i="6" s="1"/>
  <c r="T31" i="6"/>
  <c r="S31" i="6"/>
  <c r="R31" i="6"/>
  <c r="P31" i="6"/>
  <c r="N31" i="6"/>
  <c r="O31" i="6" s="1"/>
  <c r="L31" i="6"/>
  <c r="M31" i="6" s="1"/>
  <c r="J31" i="6"/>
  <c r="K31" i="6" s="1"/>
  <c r="H31" i="6"/>
  <c r="I31" i="6" s="1"/>
  <c r="F31" i="6"/>
  <c r="G31" i="6" s="1"/>
  <c r="B31" i="6"/>
  <c r="U31" i="6" s="1"/>
  <c r="M30" i="6"/>
  <c r="L30" i="6"/>
  <c r="F30" i="6"/>
  <c r="G30" i="6" s="1"/>
  <c r="B30" i="6"/>
  <c r="Q30" i="6" s="1"/>
  <c r="T29" i="6"/>
  <c r="S29" i="6"/>
  <c r="Q29" i="6"/>
  <c r="P29" i="6"/>
  <c r="L29" i="6"/>
  <c r="M29" i="6" s="1"/>
  <c r="J29" i="6"/>
  <c r="K29" i="6" s="1"/>
  <c r="F29" i="6"/>
  <c r="G29" i="6" s="1"/>
  <c r="D29" i="6"/>
  <c r="E29" i="6" s="1"/>
  <c r="B29" i="6"/>
  <c r="U29" i="6" s="1"/>
  <c r="S28" i="6"/>
  <c r="Q28" i="6"/>
  <c r="P28" i="6"/>
  <c r="N28" i="6"/>
  <c r="O28" i="6" s="1"/>
  <c r="K28" i="6"/>
  <c r="J28" i="6"/>
  <c r="F28" i="6"/>
  <c r="G28" i="6" s="1"/>
  <c r="D28" i="6"/>
  <c r="E28" i="6" s="1"/>
  <c r="B28" i="6"/>
  <c r="U28" i="6" s="1"/>
  <c r="U27" i="6"/>
  <c r="T27" i="6"/>
  <c r="R27" i="6"/>
  <c r="P27" i="6"/>
  <c r="J27" i="6"/>
  <c r="K27" i="6" s="1"/>
  <c r="H27" i="6"/>
  <c r="I27" i="6" s="1"/>
  <c r="D27" i="6"/>
  <c r="E27" i="6" s="1"/>
  <c r="B27" i="6"/>
  <c r="Q27" i="6" s="1"/>
  <c r="B26" i="6"/>
  <c r="T25" i="6"/>
  <c r="R25" i="6"/>
  <c r="Q25" i="6"/>
  <c r="P25" i="6"/>
  <c r="N25" i="6"/>
  <c r="O25" i="6" s="1"/>
  <c r="L25" i="6"/>
  <c r="M25" i="6" s="1"/>
  <c r="K25" i="6"/>
  <c r="J25" i="6"/>
  <c r="H25" i="6"/>
  <c r="I25" i="6" s="1"/>
  <c r="E25" i="6"/>
  <c r="D25" i="6"/>
  <c r="B25" i="6"/>
  <c r="U25" i="6" s="1"/>
  <c r="B24" i="6"/>
  <c r="H24" i="6" s="1"/>
  <c r="I24" i="6" s="1"/>
  <c r="H23" i="6"/>
  <c r="I23" i="6" s="1"/>
  <c r="B23" i="6"/>
  <c r="B22" i="6"/>
  <c r="J21" i="6"/>
  <c r="K21" i="6" s="1"/>
  <c r="B21" i="6"/>
  <c r="T20" i="6"/>
  <c r="R20" i="6"/>
  <c r="Q20" i="6"/>
  <c r="P20" i="6"/>
  <c r="N20" i="6"/>
  <c r="O20" i="6" s="1"/>
  <c r="L20" i="6"/>
  <c r="M20" i="6" s="1"/>
  <c r="K20" i="6"/>
  <c r="J20" i="6"/>
  <c r="F20" i="6"/>
  <c r="G20" i="6" s="1"/>
  <c r="D20" i="6"/>
  <c r="E20" i="6" s="1"/>
  <c r="B20" i="6"/>
  <c r="U20" i="6" s="1"/>
  <c r="S20" i="6" s="1"/>
  <c r="T19" i="6"/>
  <c r="R19" i="6"/>
  <c r="Q19" i="6"/>
  <c r="P19" i="6"/>
  <c r="N19" i="6"/>
  <c r="O19" i="6" s="1"/>
  <c r="M19" i="6"/>
  <c r="L19" i="6"/>
  <c r="J19" i="6"/>
  <c r="K19" i="6" s="1"/>
  <c r="G19" i="6"/>
  <c r="F19" i="6"/>
  <c r="E19" i="6"/>
  <c r="D19" i="6"/>
  <c r="B19" i="6"/>
  <c r="U19" i="6" s="1"/>
  <c r="S19" i="6" s="1"/>
  <c r="U18" i="6"/>
  <c r="S18" i="6" s="1"/>
  <c r="T18" i="6"/>
  <c r="R18" i="6"/>
  <c r="P18" i="6"/>
  <c r="N18" i="6"/>
  <c r="O18" i="6" s="1"/>
  <c r="M18" i="6"/>
  <c r="L18" i="6"/>
  <c r="J18" i="6"/>
  <c r="K18" i="6" s="1"/>
  <c r="I18" i="6"/>
  <c r="H18" i="6"/>
  <c r="G18" i="6"/>
  <c r="F18" i="6"/>
  <c r="D18" i="6"/>
  <c r="E18" i="6" s="1"/>
  <c r="B18" i="6"/>
  <c r="Q18" i="6" s="1"/>
  <c r="U17" i="6"/>
  <c r="Q17" i="6"/>
  <c r="P17" i="6"/>
  <c r="N17" i="6"/>
  <c r="O17" i="6" s="1"/>
  <c r="J17" i="6"/>
  <c r="K17" i="6" s="1"/>
  <c r="H17" i="6"/>
  <c r="I17" i="6" s="1"/>
  <c r="D17" i="6"/>
  <c r="E17" i="6" s="1"/>
  <c r="B17" i="6"/>
  <c r="L17" i="6" s="1"/>
  <c r="M17" i="6" s="1"/>
  <c r="T16" i="6"/>
  <c r="R16" i="6"/>
  <c r="Q16" i="6"/>
  <c r="J16" i="6"/>
  <c r="K16" i="6" s="1"/>
  <c r="D16" i="6"/>
  <c r="E16" i="6" s="1"/>
  <c r="B16" i="6"/>
  <c r="U16" i="6" s="1"/>
  <c r="R15" i="6"/>
  <c r="P15" i="6"/>
  <c r="N15" i="6"/>
  <c r="O15" i="6" s="1"/>
  <c r="L15" i="6"/>
  <c r="M15" i="6" s="1"/>
  <c r="D15" i="6"/>
  <c r="E15" i="6" s="1"/>
  <c r="B15" i="6"/>
  <c r="Q15" i="6" s="1"/>
  <c r="U14" i="6"/>
  <c r="S14" i="6" s="1"/>
  <c r="R14" i="6"/>
  <c r="P14" i="6"/>
  <c r="J14" i="6"/>
  <c r="K14" i="6" s="1"/>
  <c r="H14" i="6"/>
  <c r="I14" i="6" s="1"/>
  <c r="F14" i="6"/>
  <c r="G14" i="6" s="1"/>
  <c r="B14" i="6"/>
  <c r="T14" i="6" s="1"/>
  <c r="Q13" i="6"/>
  <c r="B13" i="6"/>
  <c r="R13" i="6" s="1"/>
  <c r="T12" i="6"/>
  <c r="P12" i="6"/>
  <c r="L12" i="6"/>
  <c r="M12" i="6" s="1"/>
  <c r="K12" i="6"/>
  <c r="J12" i="6"/>
  <c r="F12" i="6"/>
  <c r="G12" i="6" s="1"/>
  <c r="B12" i="6"/>
  <c r="Q12" i="6" s="1"/>
  <c r="U11" i="6"/>
  <c r="S11" i="6"/>
  <c r="R11" i="6"/>
  <c r="Q11" i="6"/>
  <c r="P11" i="6"/>
  <c r="N11" i="6"/>
  <c r="O11" i="6" s="1"/>
  <c r="L11" i="6"/>
  <c r="M11" i="6" s="1"/>
  <c r="J11" i="6"/>
  <c r="K11" i="6" s="1"/>
  <c r="I11" i="6"/>
  <c r="H11" i="6"/>
  <c r="F11" i="6"/>
  <c r="G11" i="6" s="1"/>
  <c r="E11" i="6"/>
  <c r="D11" i="6"/>
  <c r="B11" i="6"/>
  <c r="T11" i="6" s="1"/>
  <c r="M10" i="6"/>
  <c r="L10" i="6"/>
  <c r="J10" i="6"/>
  <c r="K10" i="6" s="1"/>
  <c r="F10" i="6"/>
  <c r="G10" i="6" s="1"/>
  <c r="B10" i="6"/>
  <c r="U10" i="6" s="1"/>
  <c r="S10" i="6" s="1"/>
  <c r="N9" i="6"/>
  <c r="O9" i="6" s="1"/>
  <c r="G9" i="6"/>
  <c r="F9" i="6"/>
  <c r="B9" i="6"/>
  <c r="U8" i="6"/>
  <c r="N8" i="6"/>
  <c r="O8" i="6" s="1"/>
  <c r="L8" i="6"/>
  <c r="M8" i="6" s="1"/>
  <c r="J8" i="6"/>
  <c r="K8" i="6" s="1"/>
  <c r="H8" i="6"/>
  <c r="I8" i="6" s="1"/>
  <c r="B8" i="6"/>
  <c r="U7" i="6"/>
  <c r="R7" i="6" s="1"/>
  <c r="K7" i="6"/>
  <c r="J7" i="6"/>
  <c r="H7" i="6"/>
  <c r="I7" i="6" s="1"/>
  <c r="F7" i="6"/>
  <c r="G7" i="6" s="1"/>
  <c r="C7" i="6"/>
  <c r="B7" i="6"/>
  <c r="L6" i="6"/>
  <c r="J6" i="6"/>
  <c r="K6" i="6" s="1"/>
  <c r="F6" i="6"/>
  <c r="B6" i="6"/>
  <c r="N6" i="6" s="1"/>
  <c r="B55" i="5"/>
  <c r="B54" i="5"/>
  <c r="B53" i="5"/>
  <c r="B52" i="5"/>
  <c r="B51" i="5"/>
  <c r="B50" i="5"/>
  <c r="B49" i="5"/>
  <c r="C48" i="5"/>
  <c r="B48" i="5"/>
  <c r="B47" i="5"/>
  <c r="B46" i="5"/>
  <c r="B45" i="5"/>
  <c r="B44" i="5"/>
  <c r="C43" i="5"/>
  <c r="B43" i="5"/>
  <c r="B42" i="5"/>
  <c r="B41" i="5"/>
  <c r="B40" i="5"/>
  <c r="B39" i="5"/>
  <c r="B38" i="5"/>
  <c r="B37" i="5"/>
  <c r="C36" i="5"/>
  <c r="B36" i="5"/>
  <c r="B35" i="5"/>
  <c r="B34" i="5"/>
  <c r="C33" i="5"/>
  <c r="B33" i="5"/>
  <c r="B32" i="5"/>
  <c r="B31" i="5"/>
  <c r="B30" i="5"/>
  <c r="B29" i="5"/>
  <c r="B28" i="5"/>
  <c r="B27" i="5"/>
  <c r="B26" i="5"/>
  <c r="B25" i="5"/>
  <c r="C24" i="5"/>
  <c r="B24" i="5"/>
  <c r="B23" i="5"/>
  <c r="C22" i="5"/>
  <c r="B22" i="5"/>
  <c r="C21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C7" i="5"/>
  <c r="B7" i="5"/>
  <c r="B6" i="5"/>
  <c r="AL55" i="4"/>
  <c r="AJ55" i="4"/>
  <c r="AI55" i="4"/>
  <c r="AH55" i="4"/>
  <c r="B55" i="4"/>
  <c r="AK55" i="4" s="1"/>
  <c r="AL54" i="4"/>
  <c r="AK54" i="4"/>
  <c r="AJ54" i="4"/>
  <c r="AI54" i="4"/>
  <c r="AH54" i="4"/>
  <c r="B54" i="4"/>
  <c r="AL53" i="4"/>
  <c r="AK53" i="4"/>
  <c r="AI53" i="4"/>
  <c r="B53" i="4"/>
  <c r="AH53" i="4" s="1"/>
  <c r="AL52" i="4"/>
  <c r="AK52" i="4"/>
  <c r="AJ52" i="4"/>
  <c r="B52" i="4"/>
  <c r="AI51" i="4"/>
  <c r="B51" i="4"/>
  <c r="AJ51" i="4" s="1"/>
  <c r="B50" i="4"/>
  <c r="AI50" i="4" s="1"/>
  <c r="AK49" i="4"/>
  <c r="AJ49" i="4"/>
  <c r="AI49" i="4"/>
  <c r="AH49" i="4"/>
  <c r="B49" i="4"/>
  <c r="AL49" i="4" s="1"/>
  <c r="B48" i="4"/>
  <c r="AL48" i="4" s="1"/>
  <c r="AL47" i="4"/>
  <c r="B47" i="4"/>
  <c r="AH47" i="4" s="1"/>
  <c r="C46" i="4"/>
  <c r="B46" i="4"/>
  <c r="AI46" i="4" s="1"/>
  <c r="AL45" i="4"/>
  <c r="AK45" i="4"/>
  <c r="C45" i="4"/>
  <c r="B45" i="4"/>
  <c r="B44" i="4"/>
  <c r="AK44" i="4" s="1"/>
  <c r="AL43" i="4"/>
  <c r="AJ43" i="4"/>
  <c r="AI43" i="4"/>
  <c r="AH43" i="4"/>
  <c r="B43" i="4"/>
  <c r="AK43" i="4" s="1"/>
  <c r="AL42" i="4"/>
  <c r="AK42" i="4"/>
  <c r="AJ42" i="4"/>
  <c r="AI42" i="4"/>
  <c r="AH42" i="4"/>
  <c r="B42" i="4"/>
  <c r="AL41" i="4"/>
  <c r="AK41" i="4"/>
  <c r="AJ41" i="4"/>
  <c r="B41" i="4"/>
  <c r="AH41" i="4" s="1"/>
  <c r="AL40" i="4"/>
  <c r="AJ40" i="4"/>
  <c r="B40" i="4"/>
  <c r="AL39" i="4"/>
  <c r="AK39" i="4"/>
  <c r="AI39" i="4"/>
  <c r="AH39" i="4"/>
  <c r="B39" i="4"/>
  <c r="AJ39" i="4" s="1"/>
  <c r="AI38" i="4"/>
  <c r="B38" i="4"/>
  <c r="AJ37" i="4"/>
  <c r="AI37" i="4"/>
  <c r="AH37" i="4"/>
  <c r="B37" i="4"/>
  <c r="AL37" i="4" s="1"/>
  <c r="AK36" i="4"/>
  <c r="AJ36" i="4"/>
  <c r="AI36" i="4"/>
  <c r="B36" i="4"/>
  <c r="AL36" i="4" s="1"/>
  <c r="B35" i="4"/>
  <c r="AL35" i="4" s="1"/>
  <c r="AJ34" i="4"/>
  <c r="AH34" i="4"/>
  <c r="B34" i="4"/>
  <c r="AI34" i="4" s="1"/>
  <c r="C33" i="4"/>
  <c r="B33" i="4"/>
  <c r="AI33" i="4" s="1"/>
  <c r="AI32" i="4"/>
  <c r="AH32" i="4"/>
  <c r="B32" i="4"/>
  <c r="AK32" i="4" s="1"/>
  <c r="AL31" i="4"/>
  <c r="AJ31" i="4"/>
  <c r="AI31" i="4"/>
  <c r="AH31" i="4"/>
  <c r="C31" i="4"/>
  <c r="B31" i="4"/>
  <c r="AK31" i="4" s="1"/>
  <c r="AL30" i="4"/>
  <c r="AK30" i="4"/>
  <c r="AJ30" i="4"/>
  <c r="AI30" i="4"/>
  <c r="AH30" i="4"/>
  <c r="B30" i="4"/>
  <c r="AK29" i="4"/>
  <c r="AJ29" i="4"/>
  <c r="AI29" i="4"/>
  <c r="B29" i="4"/>
  <c r="AH29" i="4" s="1"/>
  <c r="AJ28" i="4"/>
  <c r="B28" i="4"/>
  <c r="AH28" i="4" s="1"/>
  <c r="AK27" i="4"/>
  <c r="AI27" i="4"/>
  <c r="AH27" i="4"/>
  <c r="B27" i="4"/>
  <c r="AJ27" i="4" s="1"/>
  <c r="AI26" i="4"/>
  <c r="B26" i="4"/>
  <c r="AJ26" i="4" s="1"/>
  <c r="AJ25" i="4"/>
  <c r="AI25" i="4"/>
  <c r="AH25" i="4"/>
  <c r="B25" i="4"/>
  <c r="AL25" i="4" s="1"/>
  <c r="AI24" i="4"/>
  <c r="C24" i="4"/>
  <c r="B24" i="4"/>
  <c r="AL24" i="4" s="1"/>
  <c r="AK23" i="4"/>
  <c r="AJ23" i="4"/>
  <c r="AI23" i="4"/>
  <c r="AH23" i="4"/>
  <c r="B23" i="4"/>
  <c r="AL23" i="4" s="1"/>
  <c r="AL22" i="4"/>
  <c r="AK22" i="4"/>
  <c r="AJ22" i="4"/>
  <c r="AH22" i="4"/>
  <c r="B22" i="4"/>
  <c r="AI22" i="4" s="1"/>
  <c r="AL21" i="4"/>
  <c r="AK21" i="4"/>
  <c r="AJ21" i="4"/>
  <c r="AH21" i="4"/>
  <c r="C21" i="4"/>
  <c r="B21" i="4"/>
  <c r="AI21" i="4" s="1"/>
  <c r="B20" i="4"/>
  <c r="AL20" i="4" s="1"/>
  <c r="AL19" i="4"/>
  <c r="AJ19" i="4"/>
  <c r="AI19" i="4"/>
  <c r="B19" i="4"/>
  <c r="AK19" i="4" s="1"/>
  <c r="AL18" i="4"/>
  <c r="AK18" i="4"/>
  <c r="AJ18" i="4"/>
  <c r="AI18" i="4"/>
  <c r="AH18" i="4"/>
  <c r="B18" i="4"/>
  <c r="AL17" i="4"/>
  <c r="AK17" i="4"/>
  <c r="AJ17" i="4"/>
  <c r="AI17" i="4"/>
  <c r="AH17" i="4"/>
  <c r="B17" i="4"/>
  <c r="B16" i="4"/>
  <c r="AH16" i="4" s="1"/>
  <c r="AL15" i="4"/>
  <c r="AK15" i="4"/>
  <c r="AJ15" i="4"/>
  <c r="AI15" i="4"/>
  <c r="AH15" i="4"/>
  <c r="B15" i="4"/>
  <c r="AL14" i="4"/>
  <c r="AJ14" i="4"/>
  <c r="AI14" i="4"/>
  <c r="AH14" i="4"/>
  <c r="B14" i="4"/>
  <c r="AK14" i="4" s="1"/>
  <c r="AL13" i="4"/>
  <c r="AK13" i="4"/>
  <c r="AJ13" i="4"/>
  <c r="AH13" i="4"/>
  <c r="B13" i="4"/>
  <c r="AI13" i="4" s="1"/>
  <c r="AL12" i="4"/>
  <c r="AK12" i="4"/>
  <c r="AJ12" i="4"/>
  <c r="AI12" i="4"/>
  <c r="B12" i="4"/>
  <c r="AH12" i="4" s="1"/>
  <c r="C11" i="4"/>
  <c r="B11" i="4"/>
  <c r="AL11" i="4" s="1"/>
  <c r="AJ10" i="4"/>
  <c r="AK10" i="4" s="1"/>
  <c r="AL10" i="4" s="1"/>
  <c r="T10" i="6" s="1"/>
  <c r="AI10" i="4"/>
  <c r="AH10" i="4"/>
  <c r="B10" i="4"/>
  <c r="B9" i="4"/>
  <c r="AJ8" i="4"/>
  <c r="AK8" i="4" s="1"/>
  <c r="AL8" i="4" s="1"/>
  <c r="T8" i="6" s="1"/>
  <c r="AI8" i="4"/>
  <c r="B8" i="4"/>
  <c r="AH8" i="4" s="1"/>
  <c r="C7" i="4"/>
  <c r="B7" i="4"/>
  <c r="B6" i="4"/>
  <c r="AJ6" i="4" s="1"/>
  <c r="AK6" i="4" s="1"/>
  <c r="AL6" i="4" s="1"/>
  <c r="F54" i="3"/>
  <c r="C55" i="6" s="1"/>
  <c r="F53" i="3"/>
  <c r="F52" i="3"/>
  <c r="F51" i="3"/>
  <c r="C52" i="6" s="1"/>
  <c r="F50" i="3"/>
  <c r="C51" i="6" s="1"/>
  <c r="F49" i="3"/>
  <c r="F48" i="3"/>
  <c r="C49" i="6" s="1"/>
  <c r="F47" i="3"/>
  <c r="F46" i="3"/>
  <c r="F45" i="3"/>
  <c r="C46" i="6" s="1"/>
  <c r="F44" i="3"/>
  <c r="C45" i="6" s="1"/>
  <c r="F43" i="3"/>
  <c r="C44" i="4" s="1"/>
  <c r="F42" i="3"/>
  <c r="C43" i="4" s="1"/>
  <c r="F41" i="3"/>
  <c r="F40" i="3"/>
  <c r="F39" i="3"/>
  <c r="C40" i="6" s="1"/>
  <c r="F38" i="3"/>
  <c r="C39" i="6" s="1"/>
  <c r="F37" i="3"/>
  <c r="C38" i="5" s="1"/>
  <c r="F36" i="3"/>
  <c r="C37" i="6" s="1"/>
  <c r="F35" i="3"/>
  <c r="F34" i="3"/>
  <c r="F33" i="3"/>
  <c r="C34" i="6" s="1"/>
  <c r="F32" i="3"/>
  <c r="C33" i="6" s="1"/>
  <c r="F31" i="3"/>
  <c r="F30" i="3"/>
  <c r="C31" i="6" s="1"/>
  <c r="F29" i="3"/>
  <c r="C30" i="6" s="1"/>
  <c r="F28" i="3"/>
  <c r="F27" i="3"/>
  <c r="C28" i="6" s="1"/>
  <c r="F26" i="3"/>
  <c r="C27" i="6" s="1"/>
  <c r="F25" i="3"/>
  <c r="F24" i="3"/>
  <c r="C25" i="6" s="1"/>
  <c r="F23" i="3"/>
  <c r="C24" i="6" s="1"/>
  <c r="F22" i="3"/>
  <c r="F21" i="3"/>
  <c r="C22" i="6" s="1"/>
  <c r="F20" i="3"/>
  <c r="C21" i="6" s="1"/>
  <c r="F19" i="3"/>
  <c r="C20" i="5" s="1"/>
  <c r="F18" i="3"/>
  <c r="C19" i="6" s="1"/>
  <c r="F17" i="3"/>
  <c r="C18" i="6" s="1"/>
  <c r="F16" i="3"/>
  <c r="C17" i="5" s="1"/>
  <c r="F15" i="3"/>
  <c r="C16" i="6" s="1"/>
  <c r="F14" i="3"/>
  <c r="C15" i="4" s="1"/>
  <c r="F13" i="3"/>
  <c r="F12" i="3"/>
  <c r="C13" i="6" s="1"/>
  <c r="F11" i="3"/>
  <c r="C12" i="6" s="1"/>
  <c r="F10" i="3"/>
  <c r="C11" i="5" s="1"/>
  <c r="F9" i="3"/>
  <c r="C10" i="6" s="1"/>
  <c r="F8" i="3"/>
  <c r="C9" i="5" s="1"/>
  <c r="F7" i="3"/>
  <c r="C8" i="5" s="1"/>
  <c r="F6" i="3"/>
  <c r="F5" i="3"/>
  <c r="C6" i="6" s="1"/>
  <c r="E11" i="2"/>
  <c r="C10" i="4" l="1"/>
  <c r="C12" i="4"/>
  <c r="C12" i="5"/>
  <c r="C9" i="6"/>
  <c r="C9" i="4"/>
  <c r="O6" i="6"/>
  <c r="AL9" i="4"/>
  <c r="T9" i="6" s="1"/>
  <c r="C14" i="5"/>
  <c r="C14" i="6"/>
  <c r="C26" i="5"/>
  <c r="C26" i="6"/>
  <c r="C50" i="5"/>
  <c r="C50" i="6"/>
  <c r="C6" i="4"/>
  <c r="AJ9" i="4"/>
  <c r="AH11" i="4"/>
  <c r="AJ16" i="4"/>
  <c r="C20" i="4"/>
  <c r="AK25" i="4"/>
  <c r="AL27" i="4"/>
  <c r="AL29" i="4"/>
  <c r="AK33" i="4"/>
  <c r="AK35" i="4"/>
  <c r="AK37" i="4"/>
  <c r="AI40" i="4"/>
  <c r="AH40" i="4"/>
  <c r="AH46" i="4"/>
  <c r="AJ48" i="4"/>
  <c r="AL50" i="4"/>
  <c r="C16" i="5"/>
  <c r="C45" i="5"/>
  <c r="C52" i="5"/>
  <c r="C8" i="6"/>
  <c r="C15" i="6"/>
  <c r="C14" i="4"/>
  <c r="C27" i="4"/>
  <c r="C52" i="4"/>
  <c r="C28" i="5"/>
  <c r="S7" i="6"/>
  <c r="C42" i="6"/>
  <c r="C42" i="4"/>
  <c r="AH35" i="4"/>
  <c r="AH9" i="4"/>
  <c r="C16" i="4"/>
  <c r="AH33" i="4"/>
  <c r="AI35" i="4"/>
  <c r="C51" i="5"/>
  <c r="G6" i="6"/>
  <c r="AI9" i="4"/>
  <c r="AI16" i="4"/>
  <c r="AJ33" i="4"/>
  <c r="AJ35" i="4"/>
  <c r="C30" i="5"/>
  <c r="C37" i="5"/>
  <c r="AI11" i="4"/>
  <c r="AK16" i="4"/>
  <c r="AH20" i="4"/>
  <c r="C22" i="4"/>
  <c r="C40" i="4"/>
  <c r="AK48" i="4"/>
  <c r="C29" i="5"/>
  <c r="C29" i="6"/>
  <c r="C41" i="6"/>
  <c r="C41" i="5"/>
  <c r="C53" i="6"/>
  <c r="C53" i="5"/>
  <c r="AH7" i="4"/>
  <c r="C25" i="4"/>
  <c r="C29" i="4"/>
  <c r="C37" i="4"/>
  <c r="AK50" i="4"/>
  <c r="AJ50" i="4"/>
  <c r="C54" i="6"/>
  <c r="C54" i="4"/>
  <c r="AI7" i="4"/>
  <c r="C50" i="4"/>
  <c r="AJ7" i="4"/>
  <c r="AK7" i="4" s="1"/>
  <c r="AH48" i="4"/>
  <c r="AH50" i="4"/>
  <c r="C15" i="5"/>
  <c r="C32" i="6"/>
  <c r="C32" i="5"/>
  <c r="C44" i="6"/>
  <c r="C44" i="5"/>
  <c r="C18" i="4"/>
  <c r="AI48" i="4"/>
  <c r="S8" i="6"/>
  <c r="Q24" i="6"/>
  <c r="T24" i="6"/>
  <c r="S24" i="6"/>
  <c r="F24" i="6"/>
  <c r="G24" i="6" s="1"/>
  <c r="R24" i="6"/>
  <c r="D24" i="6"/>
  <c r="E24" i="6" s="1"/>
  <c r="P24" i="6"/>
  <c r="L24" i="6"/>
  <c r="M24" i="6" s="1"/>
  <c r="J24" i="6"/>
  <c r="K24" i="6" s="1"/>
  <c r="AH6" i="4"/>
  <c r="AK9" i="4"/>
  <c r="C13" i="4"/>
  <c r="AL33" i="4"/>
  <c r="AK38" i="4"/>
  <c r="AJ38" i="4"/>
  <c r="AH44" i="4"/>
  <c r="AJ46" i="4"/>
  <c r="C53" i="4"/>
  <c r="C55" i="4"/>
  <c r="C31" i="5"/>
  <c r="U22" i="6"/>
  <c r="S22" i="6" s="1"/>
  <c r="T22" i="6"/>
  <c r="F22" i="6"/>
  <c r="G22" i="6" s="1"/>
  <c r="R22" i="6"/>
  <c r="Q22" i="6"/>
  <c r="D22" i="6"/>
  <c r="E22" i="6" s="1"/>
  <c r="N22" i="6"/>
  <c r="O22" i="6" s="1"/>
  <c r="L22" i="6"/>
  <c r="M22" i="6" s="1"/>
  <c r="J22" i="6"/>
  <c r="K22" i="6" s="1"/>
  <c r="N24" i="6"/>
  <c r="O24" i="6" s="1"/>
  <c r="C43" i="6"/>
  <c r="C23" i="5"/>
  <c r="C23" i="4"/>
  <c r="C23" i="6"/>
  <c r="C35" i="6"/>
  <c r="C35" i="5"/>
  <c r="C35" i="4"/>
  <c r="C47" i="5"/>
  <c r="C47" i="4"/>
  <c r="C47" i="6"/>
  <c r="AI6" i="4"/>
  <c r="C8" i="4"/>
  <c r="AJ11" i="4"/>
  <c r="AL16" i="4"/>
  <c r="AI20" i="4"/>
  <c r="C26" i="4"/>
  <c r="C28" i="4"/>
  <c r="C30" i="4"/>
  <c r="C38" i="4"/>
  <c r="AI44" i="4"/>
  <c r="AK46" i="4"/>
  <c r="C51" i="4"/>
  <c r="C10" i="5"/>
  <c r="C39" i="5"/>
  <c r="C46" i="5"/>
  <c r="M6" i="6"/>
  <c r="C36" i="6"/>
  <c r="C36" i="4"/>
  <c r="C48" i="6"/>
  <c r="C48" i="4"/>
  <c r="AK11" i="4"/>
  <c r="AJ20" i="4"/>
  <c r="AH24" i="4"/>
  <c r="AH26" i="4"/>
  <c r="AI28" i="4"/>
  <c r="C32" i="4"/>
  <c r="C34" i="4"/>
  <c r="AH36" i="4"/>
  <c r="AH38" i="4"/>
  <c r="AK40" i="4"/>
  <c r="AJ44" i="4"/>
  <c r="AL46" i="4"/>
  <c r="C49" i="4"/>
  <c r="AH51" i="4"/>
  <c r="AJ53" i="4"/>
  <c r="C18" i="5"/>
  <c r="C25" i="5"/>
  <c r="C54" i="5"/>
  <c r="H22" i="6"/>
  <c r="I22" i="6" s="1"/>
  <c r="U24" i="6"/>
  <c r="C38" i="6"/>
  <c r="C17" i="4"/>
  <c r="AK20" i="4"/>
  <c r="AL44" i="4"/>
  <c r="C40" i="5"/>
  <c r="AJ24" i="4"/>
  <c r="AK26" i="4"/>
  <c r="AK28" i="4"/>
  <c r="AL38" i="4"/>
  <c r="AJ45" i="4"/>
  <c r="AI45" i="4"/>
  <c r="AI47" i="4"/>
  <c r="AK51" i="4"/>
  <c r="C19" i="5"/>
  <c r="C55" i="5"/>
  <c r="C11" i="6"/>
  <c r="U13" i="6"/>
  <c r="P13" i="6"/>
  <c r="N13" i="6"/>
  <c r="O13" i="6" s="1"/>
  <c r="J13" i="6"/>
  <c r="K13" i="6" s="1"/>
  <c r="H13" i="6"/>
  <c r="I13" i="6" s="1"/>
  <c r="T13" i="6"/>
  <c r="S13" i="6"/>
  <c r="F13" i="6"/>
  <c r="G13" i="6" s="1"/>
  <c r="C17" i="6"/>
  <c r="P22" i="6"/>
  <c r="F26" i="6"/>
  <c r="G26" i="6" s="1"/>
  <c r="R26" i="6"/>
  <c r="Q26" i="6"/>
  <c r="D26" i="6"/>
  <c r="E26" i="6" s="1"/>
  <c r="P26" i="6"/>
  <c r="L26" i="6"/>
  <c r="M26" i="6" s="1"/>
  <c r="J26" i="6"/>
  <c r="K26" i="6" s="1"/>
  <c r="U26" i="6"/>
  <c r="S26" i="6" s="1"/>
  <c r="H26" i="6"/>
  <c r="I26" i="6" s="1"/>
  <c r="C19" i="4"/>
  <c r="AK24" i="4"/>
  <c r="AL26" i="4"/>
  <c r="AL28" i="4"/>
  <c r="AJ32" i="4"/>
  <c r="AK34" i="4"/>
  <c r="C41" i="4"/>
  <c r="AJ47" i="4"/>
  <c r="AL51" i="4"/>
  <c r="C27" i="5"/>
  <c r="C34" i="5"/>
  <c r="U6" i="6"/>
  <c r="T6" i="6"/>
  <c r="H6" i="6"/>
  <c r="R6" i="6"/>
  <c r="D13" i="6"/>
  <c r="E13" i="6" s="1"/>
  <c r="N23" i="6"/>
  <c r="O23" i="6" s="1"/>
  <c r="L23" i="6"/>
  <c r="M23" i="6" s="1"/>
  <c r="J23" i="6"/>
  <c r="K23" i="6" s="1"/>
  <c r="T23" i="6"/>
  <c r="S23" i="6"/>
  <c r="F23" i="6"/>
  <c r="G23" i="6" s="1"/>
  <c r="R23" i="6"/>
  <c r="Q23" i="6"/>
  <c r="D23" i="6"/>
  <c r="E23" i="6" s="1"/>
  <c r="P23" i="6"/>
  <c r="AH19" i="4"/>
  <c r="AL32" i="4"/>
  <c r="AL34" i="4"/>
  <c r="C39" i="4"/>
  <c r="AI41" i="4"/>
  <c r="AH45" i="4"/>
  <c r="AK47" i="4"/>
  <c r="AI52" i="4"/>
  <c r="AH52" i="4"/>
  <c r="C6" i="5"/>
  <c r="C13" i="5"/>
  <c r="C42" i="5"/>
  <c r="C49" i="5"/>
  <c r="D6" i="6"/>
  <c r="S6" i="6"/>
  <c r="N26" i="6"/>
  <c r="O26" i="6" s="1"/>
  <c r="L13" i="6"/>
  <c r="M13" i="6" s="1"/>
  <c r="C20" i="6"/>
  <c r="Q21" i="6"/>
  <c r="N21" i="6"/>
  <c r="O21" i="6" s="1"/>
  <c r="L21" i="6"/>
  <c r="M21" i="6" s="1"/>
  <c r="U21" i="6"/>
  <c r="H21" i="6"/>
  <c r="I21" i="6" s="1"/>
  <c r="T21" i="6"/>
  <c r="S21" i="6"/>
  <c r="F21" i="6"/>
  <c r="G21" i="6" s="1"/>
  <c r="R21" i="6"/>
  <c r="D21" i="6"/>
  <c r="E21" i="6" s="1"/>
  <c r="P21" i="6"/>
  <c r="T26" i="6"/>
  <c r="S41" i="6"/>
  <c r="U23" i="6"/>
  <c r="R39" i="6"/>
  <c r="L40" i="6"/>
  <c r="M40" i="6" s="1"/>
  <c r="F41" i="6"/>
  <c r="G41" i="6" s="1"/>
  <c r="T41" i="6"/>
  <c r="N42" i="6"/>
  <c r="O42" i="6" s="1"/>
  <c r="J43" i="6"/>
  <c r="K43" i="6" s="1"/>
  <c r="D44" i="6"/>
  <c r="E44" i="6" s="1"/>
  <c r="R44" i="6"/>
  <c r="L45" i="6"/>
  <c r="M45" i="6" s="1"/>
  <c r="F46" i="6"/>
  <c r="G46" i="6" s="1"/>
  <c r="P47" i="6"/>
  <c r="J48" i="6"/>
  <c r="K48" i="6" s="1"/>
  <c r="D49" i="6"/>
  <c r="E49" i="6" s="1"/>
  <c r="R49" i="6"/>
  <c r="N50" i="6"/>
  <c r="O50" i="6" s="1"/>
  <c r="H51" i="6"/>
  <c r="I51" i="6" s="1"/>
  <c r="U52" i="6"/>
  <c r="S52" i="6"/>
  <c r="P52" i="6"/>
  <c r="J53" i="6"/>
  <c r="K53" i="6" s="1"/>
  <c r="F54" i="6"/>
  <c r="G54" i="6" s="1"/>
  <c r="T54" i="6"/>
  <c r="H9" i="6"/>
  <c r="I9" i="6" s="1"/>
  <c r="U9" i="6"/>
  <c r="S9" i="6" s="1"/>
  <c r="N10" i="6"/>
  <c r="O10" i="6" s="1"/>
  <c r="L14" i="6"/>
  <c r="M14" i="6" s="1"/>
  <c r="F15" i="6"/>
  <c r="G15" i="6" s="1"/>
  <c r="S15" i="6"/>
  <c r="L16" i="6"/>
  <c r="M16" i="6" s="1"/>
  <c r="R17" i="6"/>
  <c r="N27" i="6"/>
  <c r="O27" i="6" s="1"/>
  <c r="T28" i="6"/>
  <c r="N29" i="6"/>
  <c r="O29" i="6" s="1"/>
  <c r="T30" i="6"/>
  <c r="F32" i="6"/>
  <c r="G32" i="6" s="1"/>
  <c r="S32" i="6"/>
  <c r="L33" i="6"/>
  <c r="M33" i="6" s="1"/>
  <c r="R34" i="6"/>
  <c r="L35" i="6"/>
  <c r="M35" i="6" s="1"/>
  <c r="U36" i="6"/>
  <c r="S36" i="6" s="1"/>
  <c r="D39" i="6"/>
  <c r="E39" i="6" s="1"/>
  <c r="U41" i="6"/>
  <c r="P42" i="6"/>
  <c r="S44" i="6"/>
  <c r="H46" i="6"/>
  <c r="I46" i="6" s="1"/>
  <c r="Q47" i="6"/>
  <c r="T49" i="6"/>
  <c r="Q52" i="6"/>
  <c r="L53" i="6"/>
  <c r="M53" i="6" s="1"/>
  <c r="U54" i="6"/>
  <c r="N12" i="6"/>
  <c r="O12" i="6" s="1"/>
  <c r="N14" i="6"/>
  <c r="O14" i="6" s="1"/>
  <c r="T15" i="6"/>
  <c r="F17" i="6"/>
  <c r="G17" i="6" s="1"/>
  <c r="S17" i="6"/>
  <c r="H28" i="6"/>
  <c r="I28" i="6" s="1"/>
  <c r="H30" i="6"/>
  <c r="I30" i="6" s="1"/>
  <c r="U30" i="6"/>
  <c r="S30" i="6" s="1"/>
  <c r="T32" i="6"/>
  <c r="F34" i="6"/>
  <c r="G34" i="6" s="1"/>
  <c r="S34" i="6"/>
  <c r="N35" i="6"/>
  <c r="O35" i="6" s="1"/>
  <c r="H36" i="6"/>
  <c r="I36" i="6" s="1"/>
  <c r="U37" i="6"/>
  <c r="S37" i="6"/>
  <c r="P37" i="6"/>
  <c r="J38" i="6"/>
  <c r="K38" i="6" s="1"/>
  <c r="H41" i="6"/>
  <c r="I41" i="6" s="1"/>
  <c r="R42" i="6"/>
  <c r="L43" i="6"/>
  <c r="M43" i="6" s="1"/>
  <c r="F44" i="6"/>
  <c r="G44" i="6" s="1"/>
  <c r="T44" i="6"/>
  <c r="N45" i="6"/>
  <c r="O45" i="6" s="1"/>
  <c r="F49" i="6"/>
  <c r="G49" i="6" s="1"/>
  <c r="P50" i="6"/>
  <c r="J51" i="6"/>
  <c r="K51" i="6" s="1"/>
  <c r="U55" i="6"/>
  <c r="S55" i="6"/>
  <c r="P55" i="6"/>
  <c r="L7" i="6"/>
  <c r="M7" i="6" s="1"/>
  <c r="D8" i="6"/>
  <c r="E8" i="6" s="1"/>
  <c r="P8" i="6" s="1"/>
  <c r="Q8" i="6" s="1"/>
  <c r="J9" i="6"/>
  <c r="K9" i="6" s="1"/>
  <c r="H15" i="6"/>
  <c r="I15" i="6" s="1"/>
  <c r="U15" i="6"/>
  <c r="N16" i="6"/>
  <c r="O16" i="6" s="1"/>
  <c r="T17" i="6"/>
  <c r="H32" i="6"/>
  <c r="I32" i="6" s="1"/>
  <c r="U32" i="6"/>
  <c r="N33" i="6"/>
  <c r="O33" i="6" s="1"/>
  <c r="T34" i="6"/>
  <c r="Q37" i="6"/>
  <c r="L38" i="6"/>
  <c r="M38" i="6" s="1"/>
  <c r="U39" i="6"/>
  <c r="S39" i="6" s="1"/>
  <c r="D42" i="6"/>
  <c r="E42" i="6" s="1"/>
  <c r="U44" i="6"/>
  <c r="P45" i="6"/>
  <c r="S47" i="6"/>
  <c r="H49" i="6"/>
  <c r="I49" i="6" s="1"/>
  <c r="Q50" i="6"/>
  <c r="T52" i="6"/>
  <c r="Q55" i="6"/>
  <c r="R8" i="6"/>
  <c r="D10" i="6"/>
  <c r="E10" i="6" s="1"/>
  <c r="P10" i="6" s="1"/>
  <c r="Q10" i="6" s="1"/>
  <c r="J30" i="6"/>
  <c r="K30" i="6" s="1"/>
  <c r="P35" i="6"/>
  <c r="N38" i="6"/>
  <c r="O38" i="6" s="1"/>
  <c r="U40" i="6"/>
  <c r="S40" i="6"/>
  <c r="P40" i="6"/>
  <c r="R45" i="6"/>
  <c r="P53" i="6"/>
  <c r="J54" i="6"/>
  <c r="K54" i="6" s="1"/>
  <c r="D55" i="6"/>
  <c r="E55" i="6" s="1"/>
  <c r="R55" i="6"/>
  <c r="N7" i="6"/>
  <c r="O7" i="6" s="1"/>
  <c r="F8" i="6"/>
  <c r="G8" i="6" s="1"/>
  <c r="L9" i="6"/>
  <c r="M9" i="6" s="1"/>
  <c r="R10" i="6"/>
  <c r="D12" i="6"/>
  <c r="E12" i="6" s="1"/>
  <c r="R12" i="6"/>
  <c r="D14" i="6"/>
  <c r="E14" i="6" s="1"/>
  <c r="Q14" i="6"/>
  <c r="J15" i="6"/>
  <c r="K15" i="6" s="1"/>
  <c r="P16" i="6"/>
  <c r="H19" i="6"/>
  <c r="I19" i="6" s="1"/>
  <c r="F25" i="6"/>
  <c r="G25" i="6" s="1"/>
  <c r="S25" i="6"/>
  <c r="F27" i="6"/>
  <c r="G27" i="6" s="1"/>
  <c r="S27" i="6"/>
  <c r="L28" i="6"/>
  <c r="M28" i="6" s="1"/>
  <c r="R29" i="6"/>
  <c r="D31" i="6"/>
  <c r="E31" i="6" s="1"/>
  <c r="Q31" i="6"/>
  <c r="J32" i="6"/>
  <c r="K32" i="6" s="1"/>
  <c r="P33" i="6"/>
  <c r="J34" i="6"/>
  <c r="K34" i="6" s="1"/>
  <c r="Q35" i="6"/>
  <c r="T37" i="6"/>
  <c r="Q40" i="6"/>
  <c r="L41" i="6"/>
  <c r="M41" i="6" s="1"/>
  <c r="U42" i="6"/>
  <c r="S42" i="6" s="1"/>
  <c r="D45" i="6"/>
  <c r="E45" i="6" s="1"/>
  <c r="S45" i="6"/>
  <c r="P48" i="6"/>
  <c r="S50" i="6"/>
  <c r="H52" i="6"/>
  <c r="I52" i="6" s="1"/>
  <c r="Q53" i="6"/>
  <c r="T55" i="6"/>
  <c r="P38" i="6"/>
  <c r="U43" i="6"/>
  <c r="S43" i="6"/>
  <c r="P43" i="6"/>
  <c r="R48" i="6"/>
  <c r="L49" i="6"/>
  <c r="M49" i="6" s="1"/>
  <c r="F50" i="6"/>
  <c r="G50" i="6" s="1"/>
  <c r="T50" i="6"/>
  <c r="N51" i="6"/>
  <c r="O51" i="6" s="1"/>
  <c r="J52" i="6"/>
  <c r="K52" i="6" s="1"/>
  <c r="D53" i="6"/>
  <c r="E53" i="6" s="1"/>
  <c r="L54" i="6"/>
  <c r="M54" i="6" s="1"/>
  <c r="F55" i="6"/>
  <c r="G55" i="6" s="1"/>
  <c r="H10" i="6"/>
  <c r="I10" i="6" s="1"/>
  <c r="H12" i="6"/>
  <c r="I12" i="6" s="1"/>
  <c r="U12" i="6"/>
  <c r="S12" i="6" s="1"/>
  <c r="F16" i="6"/>
  <c r="G16" i="6" s="1"/>
  <c r="S16" i="6"/>
  <c r="H29" i="6"/>
  <c r="I29" i="6" s="1"/>
  <c r="N30" i="6"/>
  <c r="O30" i="6" s="1"/>
  <c r="N32" i="6"/>
  <c r="O32" i="6" s="1"/>
  <c r="T33" i="6"/>
  <c r="F35" i="6"/>
  <c r="G35" i="6" s="1"/>
  <c r="T35" i="6"/>
  <c r="N36" i="6"/>
  <c r="O36" i="6" s="1"/>
  <c r="D38" i="6"/>
  <c r="E38" i="6" s="1"/>
  <c r="R38" i="6"/>
  <c r="F40" i="6"/>
  <c r="G40" i="6" s="1"/>
  <c r="P41" i="6"/>
  <c r="D43" i="6"/>
  <c r="E43" i="6" s="1"/>
  <c r="R43" i="6"/>
  <c r="N44" i="6"/>
  <c r="O44" i="6" s="1"/>
  <c r="H45" i="6"/>
  <c r="I45" i="6" s="1"/>
  <c r="U46" i="6"/>
  <c r="S46" i="6"/>
  <c r="P46" i="6"/>
  <c r="R51" i="6"/>
  <c r="J55" i="6"/>
  <c r="K55" i="6" s="1"/>
  <c r="D9" i="6"/>
  <c r="E9" i="6" s="1"/>
  <c r="P9" i="6" s="1"/>
  <c r="Q9" i="6" s="1"/>
  <c r="H16" i="6"/>
  <c r="I16" i="6" s="1"/>
  <c r="P30" i="6"/>
  <c r="P32" i="6"/>
  <c r="R36" i="6"/>
  <c r="F38" i="6"/>
  <c r="G38" i="6" s="1"/>
  <c r="T38" i="6"/>
  <c r="J40" i="6"/>
  <c r="K40" i="6" s="1"/>
  <c r="F43" i="6"/>
  <c r="G43" i="6" s="1"/>
  <c r="P44" i="6"/>
  <c r="J45" i="6"/>
  <c r="K45" i="6" s="1"/>
  <c r="U49" i="6"/>
  <c r="S49" i="6" s="1"/>
  <c r="P49" i="6"/>
  <c r="R54" i="6"/>
  <c r="L55" i="6"/>
  <c r="M55" i="6" s="1"/>
  <c r="H20" i="6"/>
  <c r="I20" i="6" s="1"/>
  <c r="L27" i="6"/>
  <c r="M27" i="6" s="1"/>
  <c r="R28" i="6"/>
  <c r="D30" i="6"/>
  <c r="E30" i="6" s="1"/>
  <c r="R30" i="6"/>
  <c r="D32" i="6"/>
  <c r="E32" i="6" s="1"/>
  <c r="J33" i="6"/>
  <c r="K33" i="6" s="1"/>
  <c r="P34" i="6"/>
  <c r="D36" i="6"/>
  <c r="E36" i="6" s="1"/>
  <c r="P39" i="6"/>
  <c r="H43" i="6"/>
  <c r="I43" i="6" s="1"/>
  <c r="T46" i="6"/>
  <c r="Q49" i="6"/>
  <c r="U51" i="6"/>
  <c r="S51" i="6" s="1"/>
  <c r="D54" i="6"/>
  <c r="E54" i="6" s="1"/>
  <c r="S54" i="6"/>
  <c r="D7" i="6" l="1"/>
  <c r="E7" i="6" s="1"/>
  <c r="P7" i="6" s="1"/>
  <c r="Q7" i="6" s="1"/>
  <c r="AL7" i="4"/>
  <c r="T7" i="6" s="1"/>
  <c r="B41" i="7"/>
  <c r="B38" i="7"/>
  <c r="H17" i="7"/>
  <c r="H19" i="7"/>
  <c r="H21" i="7"/>
  <c r="H16" i="7"/>
  <c r="H14" i="7"/>
  <c r="H20" i="7"/>
  <c r="H13" i="7"/>
  <c r="H18" i="7"/>
  <c r="H15" i="7"/>
  <c r="H12" i="7"/>
  <c r="B39" i="7"/>
  <c r="I6" i="6"/>
  <c r="B40" i="7"/>
  <c r="B37" i="7"/>
  <c r="J5" i="7"/>
  <c r="E6" i="6"/>
  <c r="P6" i="6" s="1"/>
  <c r="R9" i="6"/>
  <c r="G5" i="7" s="1"/>
  <c r="B42" i="7"/>
  <c r="L13" i="7" l="1"/>
  <c r="K13" i="7"/>
  <c r="J13" i="7"/>
  <c r="I13" i="7"/>
  <c r="L20" i="7"/>
  <c r="K20" i="7"/>
  <c r="J20" i="7"/>
  <c r="I20" i="7"/>
  <c r="L18" i="7"/>
  <c r="J18" i="7"/>
  <c r="K18" i="7"/>
  <c r="I18" i="7"/>
  <c r="D5" i="7"/>
  <c r="Q6" i="6"/>
  <c r="L14" i="7"/>
  <c r="J14" i="7"/>
  <c r="K14" i="7"/>
  <c r="I14" i="7"/>
  <c r="L16" i="7"/>
  <c r="J16" i="7"/>
  <c r="K16" i="7"/>
  <c r="I16" i="7"/>
  <c r="L21" i="7"/>
  <c r="K21" i="7"/>
  <c r="J21" i="7"/>
  <c r="I21" i="7"/>
  <c r="J19" i="7"/>
  <c r="I19" i="7"/>
  <c r="L19" i="7"/>
  <c r="K19" i="7"/>
  <c r="B16" i="7"/>
  <c r="I17" i="7"/>
  <c r="L17" i="7"/>
  <c r="K17" i="7"/>
  <c r="J17" i="7"/>
  <c r="L12" i="7"/>
  <c r="J12" i="7"/>
  <c r="K12" i="7"/>
  <c r="I12" i="7"/>
  <c r="L15" i="7"/>
  <c r="K15" i="7"/>
  <c r="J15" i="7"/>
  <c r="I15" i="7"/>
  <c r="B11" i="7" l="1"/>
  <c r="B14" i="7"/>
  <c r="B13" i="7"/>
  <c r="B15" i="7"/>
  <c r="B12" i="7"/>
</calcChain>
</file>

<file path=xl/sharedStrings.xml><?xml version="1.0" encoding="utf-8"?>
<sst xmlns="http://schemas.openxmlformats.org/spreadsheetml/2006/main" count="188" uniqueCount="162">
  <si>
    <t>COLLEGE STUDENT GRADEBOOK</t>
  </si>
  <si>
    <t>QUICK GUIDE</t>
  </si>
  <si>
    <t>Step</t>
  </si>
  <si>
    <t>What to do</t>
  </si>
  <si>
    <t>Sheet</t>
  </si>
  <si>
    <t>1</t>
  </si>
  <si>
    <t>Set the subject details, grading percentages, passing grade, and grade scale.</t>
  </si>
  <si>
    <t>SETTINGS</t>
  </si>
  <si>
    <t>2</t>
  </si>
  <si>
    <t>Enter student numbers and names. Student details are linked automatically.</t>
  </si>
  <si>
    <t>STUDENT LIST</t>
  </si>
  <si>
    <t>3</t>
  </si>
  <si>
    <t>Record P, A, L, or E for each class meeting. Attendance percentage is automatic.</t>
  </si>
  <si>
    <t>ATTENDANCE</t>
  </si>
  <si>
    <t>4</t>
  </si>
  <si>
    <t>Enter raw scores and maximum scores for quizzes, activities, projects, midterm, and final exam.</t>
  </si>
  <si>
    <t>SCORES</t>
  </si>
  <si>
    <t>5</t>
  </si>
  <si>
    <t>Review weighted grades, final percentage, college grade, remarks, and ranking.</t>
  </si>
  <si>
    <t>GRADEBOOK</t>
  </si>
  <si>
    <t>6</t>
  </si>
  <si>
    <t>Use the dashboard for class average, passing rate, attendance, top students, and charts.</t>
  </si>
  <si>
    <t>DASHBOARD</t>
  </si>
  <si>
    <t>COLOR GUIDE</t>
  </si>
  <si>
    <t>Color</t>
  </si>
  <si>
    <t>Meaning</t>
  </si>
  <si>
    <t>Light blue</t>
  </si>
  <si>
    <t>Editable input cells</t>
  </si>
  <si>
    <t>Very light gray/blue</t>
  </si>
  <si>
    <t>Automatic formula cells</t>
  </si>
  <si>
    <t>Yellow or red</t>
  </si>
  <si>
    <t>Warning, incomplete, or failed result</t>
  </si>
  <si>
    <t>GRADEBOOK SETTINGS</t>
  </si>
  <si>
    <t>Subject Information</t>
  </si>
  <si>
    <t>Value</t>
  </si>
  <si>
    <t>Component</t>
  </si>
  <si>
    <t>Weight (%)</t>
  </si>
  <si>
    <t>Notes</t>
  </si>
  <si>
    <t>Subject Code</t>
  </si>
  <si>
    <t>CS 101</t>
  </si>
  <si>
    <t>Attendance</t>
  </si>
  <si>
    <t>Attendance and participation</t>
  </si>
  <si>
    <t>Subject Title</t>
  </si>
  <si>
    <t>Introduction to Computing</t>
  </si>
  <si>
    <t>Quizzes</t>
  </si>
  <si>
    <t>Average of quizzes</t>
  </si>
  <si>
    <t>Section</t>
  </si>
  <si>
    <t>BSCS 1-1</t>
  </si>
  <si>
    <t>Activities</t>
  </si>
  <si>
    <t>Seatwork, lab, or class activities</t>
  </si>
  <si>
    <t>Instructor</t>
  </si>
  <si>
    <t>Instructor Name</t>
  </si>
  <si>
    <t>Project</t>
  </si>
  <si>
    <t>Major project or output</t>
  </si>
  <si>
    <t>Semester</t>
  </si>
  <si>
    <t>1st Semester</t>
  </si>
  <si>
    <t>Midterm Exam</t>
  </si>
  <si>
    <t>Midterm examination</t>
  </si>
  <si>
    <t>Academic Year</t>
  </si>
  <si>
    <t>2026-2027</t>
  </si>
  <si>
    <t>Final Exam</t>
  </si>
  <si>
    <t>Final examination</t>
  </si>
  <si>
    <t>Passing Percentage</t>
  </si>
  <si>
    <t>TOTAL</t>
  </si>
  <si>
    <t>Must equal 100%</t>
  </si>
  <si>
    <t>Minimum Attendance</t>
  </si>
  <si>
    <t>Percentage From</t>
  </si>
  <si>
    <t>Percentage To</t>
  </si>
  <si>
    <t>College Grade</t>
  </si>
  <si>
    <t>Description</t>
  </si>
  <si>
    <t>Excellent</t>
  </si>
  <si>
    <t>Very Good</t>
  </si>
  <si>
    <t>Good</t>
  </si>
  <si>
    <t>Satisfactory</t>
  </si>
  <si>
    <t>Passed</t>
  </si>
  <si>
    <t>Conditional/Incomplete</t>
  </si>
  <si>
    <t>Failed</t>
  </si>
  <si>
    <t>Note</t>
  </si>
  <si>
    <t>This is an editable sample scale. Confirm your college's official grading system.</t>
  </si>
  <si>
    <t>STUDENT MASTER LIST</t>
  </si>
  <si>
    <t>No.</t>
  </si>
  <si>
    <t>Student Number</t>
  </si>
  <si>
    <t>Last Name</t>
  </si>
  <si>
    <t>First Name</t>
  </si>
  <si>
    <t>Middle Initial</t>
  </si>
  <si>
    <t>Full Name</t>
  </si>
  <si>
    <t>2026-00001</t>
  </si>
  <si>
    <t>Santos</t>
  </si>
  <si>
    <t>Andrea</t>
  </si>
  <si>
    <t>M.</t>
  </si>
  <si>
    <t>2026-00002</t>
  </si>
  <si>
    <t>Reyes</t>
  </si>
  <si>
    <t>Brian</t>
  </si>
  <si>
    <t>C.</t>
  </si>
  <si>
    <t>2026-00003</t>
  </si>
  <si>
    <t>Cruz</t>
  </si>
  <si>
    <t>Camille</t>
  </si>
  <si>
    <t>D.</t>
  </si>
  <si>
    <t>2026-00004</t>
  </si>
  <si>
    <t>Garcia</t>
  </si>
  <si>
    <t>Daniel</t>
  </si>
  <si>
    <t>P.</t>
  </si>
  <si>
    <t>2026-00005</t>
  </si>
  <si>
    <t>Mendoza</t>
  </si>
  <si>
    <t>Ella</t>
  </si>
  <si>
    <t>R.</t>
  </si>
  <si>
    <t>ATTENDANCE RECORD</t>
  </si>
  <si>
    <t>P = Present | A = Absent | L = Late | E = Excused. P and L count as attended; E is excluded from held meetings.</t>
  </si>
  <si>
    <t>Student Name</t>
  </si>
  <si>
    <t>Present/Late</t>
  </si>
  <si>
    <t>Absences</t>
  </si>
  <si>
    <t>Excused</t>
  </si>
  <si>
    <t>Attendance %</t>
  </si>
  <si>
    <t>Status</t>
  </si>
  <si>
    <t>RAW SCORES AND ASSESSMENTS</t>
  </si>
  <si>
    <t>Enter raw scores in light-blue cells. Enter the maximum possible score for each assessment in Row 5.</t>
  </si>
  <si>
    <t>Quiz 1</t>
  </si>
  <si>
    <t>Quiz 2</t>
  </si>
  <si>
    <t>Quiz 3</t>
  </si>
  <si>
    <t>Quiz 4</t>
  </si>
  <si>
    <t>Quiz 5</t>
  </si>
  <si>
    <t>Activity 1</t>
  </si>
  <si>
    <t>Activity 2</t>
  </si>
  <si>
    <t>Activity 3</t>
  </si>
  <si>
    <t>Activity 4</t>
  </si>
  <si>
    <t>Activity 5</t>
  </si>
  <si>
    <t>Project 1</t>
  </si>
  <si>
    <t>Project 2</t>
  </si>
  <si>
    <t>MAX SCORE</t>
  </si>
  <si>
    <t>AUTOMATIC COLLEGE GRADEBOOK</t>
  </si>
  <si>
    <t>Automatic results. Change grading percentages and policies only in SETTINGS.</t>
  </si>
  <si>
    <t>Attendance Weighted</t>
  </si>
  <si>
    <t>Quiz %</t>
  </si>
  <si>
    <t>Quiz Weighted</t>
  </si>
  <si>
    <t>Activity %</t>
  </si>
  <si>
    <t>Activity Weighted</t>
  </si>
  <si>
    <t>Project %</t>
  </si>
  <si>
    <t>Project Weighted</t>
  </si>
  <si>
    <t>Midterm %</t>
  </si>
  <si>
    <t>Midterm Weighted</t>
  </si>
  <si>
    <t>Final Exam %</t>
  </si>
  <si>
    <t>Final Weighted</t>
  </si>
  <si>
    <t>Final Percentage</t>
  </si>
  <si>
    <t>Remarks</t>
  </si>
  <si>
    <t>Rank</t>
  </si>
  <si>
    <t>Attendance Status</t>
  </si>
  <si>
    <t>Incomplete Data</t>
  </si>
  <si>
    <t>Instructor Notes</t>
  </si>
  <si>
    <t>CLASS PERFORMANCE DASHBOARD</t>
  </si>
  <si>
    <t>Grade Distribution</t>
  </si>
  <si>
    <t>Count</t>
  </si>
  <si>
    <t>TOP 10 STUDENTS</t>
  </si>
  <si>
    <t>1.00-1.75</t>
  </si>
  <si>
    <t>Final %</t>
  </si>
  <si>
    <t>2.00-2.50</t>
  </si>
  <si>
    <t>2.75-3.00</t>
  </si>
  <si>
    <t>4.00</t>
  </si>
  <si>
    <t>5.00</t>
  </si>
  <si>
    <t>Failed Attendance</t>
  </si>
  <si>
    <t>Average</t>
  </si>
  <si>
    <t>Projects</t>
  </si>
  <si>
    <t>Midterm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</si>
</sst>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"/>
  </numFmts>
  <fonts count="12">
    <font>
      <sz val="11"/>
      <name val="Carlito"/>
    </font>
    <font>
      <b/>
      <sz val="20"/>
      <color rgb="FFFFFFFF"/>
      <name val="Aptos"/>
    </font>
    <font>
      <sz val="11"/>
      <name val="Aptos"/>
    </font>
    <font>
      <b/>
      <sz val="11"/>
      <color rgb="FFFFFFFF"/>
      <name val="Aptos"/>
    </font>
    <font>
      <b/>
      <sz val="18"/>
      <color rgb="FFFFFFFF"/>
      <name val="Aptos"/>
    </font>
    <font>
      <sz val="11"/>
      <color rgb="FF1F4E78"/>
      <name val="Aptos"/>
    </font>
    <font>
      <sz val="11"/>
      <color rgb="FF000000"/>
      <name val="Aptos"/>
    </font>
    <font>
      <i/>
      <sz val="11"/>
      <color rgb="FF7F6000"/>
      <name val="Aptos"/>
    </font>
    <font>
      <b/>
      <sz val="11"/>
      <color rgb="FF1F4E78"/>
      <name val="Aptos"/>
    </font>
    <font>
      <b/>
      <sz val="11"/>
      <color rgb="FF17324D"/>
      <name val="Aptos"/>
    </font>
    <font>
      <b/>
      <sz val="14"/>
      <color rgb="FF17324D"/>
      <name val="Aptos"/>
    </font>
    <font>
      <sz val="11"/>
      <color rgb="FF1F4E78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5F9FC"/>
      </patternFill>
    </fill>
    <fill>
      <patternFill patternType="solid">
        <fgColor rgb="FFFFF2CC"/>
      </patternFill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2" fontId="6" fillId="5" borderId="0" xfId="0" applyNumberFormat="1" applyFont="1" applyFill="1"/>
    <xf numFmtId="0" fontId="3" fillId="7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" fontId="6" fillId="5" borderId="0" xfId="0" applyNumberFormat="1" applyFont="1" applyFill="1"/>
    <xf numFmtId="2" fontId="2" fillId="0" borderId="0" xfId="0" applyNumberFormat="1" applyFont="1"/>
    <xf numFmtId="0" fontId="11" fillId="4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Grade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DASHBOARD!$A$11:$A$16</c:f>
              <c:strCache>
                <c:ptCount val="6"/>
                <c:pt idx="0">
                  <c:v>1.00-1.75</c:v>
                </c:pt>
                <c:pt idx="1">
                  <c:v>2.00-2.50</c:v>
                </c:pt>
                <c:pt idx="2">
                  <c:v>2.75-3.00</c:v>
                </c:pt>
                <c:pt idx="3">
                  <c:v>4.00</c:v>
                </c:pt>
                <c:pt idx="4">
                  <c:v>5.00</c:v>
                </c:pt>
                <c:pt idx="5">
                  <c:v>Failed Attendance</c:v>
                </c:pt>
              </c:strCache>
            </c:strRef>
          </c:cat>
          <c:val>
            <c:numRef>
              <c:f>DASHBOARD!$B$11:$B$16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4-4D1B-9A56-0E4976076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Average by Component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invertIfNegative val="1"/>
          <c:cat>
            <c:strRef>
              <c:f>DASHBOARD!$A$37:$A$42</c:f>
              <c:strCache>
                <c:ptCount val="6"/>
                <c:pt idx="0">
                  <c:v>Attendance</c:v>
                </c:pt>
                <c:pt idx="1">
                  <c:v>Quizzes</c:v>
                </c:pt>
                <c:pt idx="2">
                  <c:v>Activities</c:v>
                </c:pt>
                <c:pt idx="3">
                  <c:v>Projects</c:v>
                </c:pt>
                <c:pt idx="4">
                  <c:v>Midterm</c:v>
                </c:pt>
                <c:pt idx="5">
                  <c:v>Final Exam</c:v>
                </c:pt>
              </c:strCache>
            </c:strRef>
          </c:cat>
          <c:val>
            <c:numRef>
              <c:f>DASHBOARD!$B$37:$B$42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9-423E-BD34-D14CFCD43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sqref="A1:XFD1048576"/>
    </sheetView>
  </sheetViews>
  <sheetFormatPr defaultRowHeight="13.8"/>
  <cols>
    <col min="1" max="1" width="14" customWidth="1"/>
    <col min="2" max="2" width="68" customWidth="1"/>
    <col min="3" max="3" width="22" customWidth="1"/>
  </cols>
  <sheetData>
    <row r="1" spans="1:8">
      <c r="A1" s="19" t="s">
        <v>0</v>
      </c>
      <c r="B1" s="19"/>
      <c r="C1" s="19"/>
      <c r="D1" s="19"/>
      <c r="E1" s="19"/>
      <c r="F1" s="19"/>
      <c r="G1" s="19"/>
      <c r="H1" s="19"/>
    </row>
    <row r="2" spans="1:8">
      <c r="A2" s="19"/>
      <c r="B2" s="19"/>
      <c r="C2" s="19"/>
      <c r="D2" s="19"/>
      <c r="E2" s="19"/>
      <c r="F2" s="19"/>
      <c r="G2" s="19"/>
      <c r="H2" s="19"/>
    </row>
    <row r="3" spans="1:8" ht="14.4">
      <c r="A3" s="1"/>
      <c r="B3" s="1"/>
      <c r="C3" s="1"/>
      <c r="D3" s="1"/>
      <c r="E3" s="1"/>
      <c r="F3" s="1"/>
      <c r="G3" s="1"/>
      <c r="H3" s="1"/>
    </row>
    <row r="4" spans="1:8" ht="14.4">
      <c r="A4" s="20" t="s">
        <v>1</v>
      </c>
      <c r="B4" s="20"/>
      <c r="C4" s="20"/>
      <c r="D4" s="20"/>
      <c r="E4" s="20"/>
      <c r="F4" s="20"/>
      <c r="G4" s="20"/>
      <c r="H4" s="20"/>
    </row>
    <row r="5" spans="1:8" ht="14.4">
      <c r="A5" s="1"/>
      <c r="B5" s="1"/>
      <c r="C5" s="1"/>
      <c r="D5" s="1"/>
      <c r="E5" s="1"/>
      <c r="F5" s="1"/>
      <c r="G5" s="1"/>
      <c r="H5" s="1"/>
    </row>
    <row r="6" spans="1:8" ht="14.4">
      <c r="A6" s="3" t="s">
        <v>2</v>
      </c>
      <c r="B6" s="3" t="s">
        <v>3</v>
      </c>
      <c r="C6" s="3" t="s">
        <v>4</v>
      </c>
      <c r="D6" s="1"/>
      <c r="E6" s="1"/>
      <c r="F6" s="1"/>
      <c r="G6" s="1"/>
      <c r="H6" s="1"/>
    </row>
    <row r="7" spans="1:8" ht="14.4">
      <c r="A7" s="4" t="s">
        <v>5</v>
      </c>
      <c r="B7" s="4" t="s">
        <v>6</v>
      </c>
      <c r="C7" s="4" t="s">
        <v>7</v>
      </c>
      <c r="D7" s="1"/>
      <c r="E7" s="1"/>
      <c r="F7" s="1"/>
      <c r="G7" s="1"/>
      <c r="H7" s="1"/>
    </row>
    <row r="8" spans="1:8" ht="14.4">
      <c r="A8" s="4" t="s">
        <v>8</v>
      </c>
      <c r="B8" s="4" t="s">
        <v>9</v>
      </c>
      <c r="C8" s="4" t="s">
        <v>10</v>
      </c>
      <c r="D8" s="1"/>
      <c r="E8" s="1"/>
      <c r="F8" s="1"/>
      <c r="G8" s="1"/>
      <c r="H8" s="1"/>
    </row>
    <row r="9" spans="1:8" ht="14.4">
      <c r="A9" s="4" t="s">
        <v>11</v>
      </c>
      <c r="B9" s="4" t="s">
        <v>12</v>
      </c>
      <c r="C9" s="4" t="s">
        <v>13</v>
      </c>
      <c r="D9" s="1"/>
      <c r="E9" s="1"/>
      <c r="F9" s="1"/>
      <c r="G9" s="1"/>
      <c r="H9" s="1"/>
    </row>
    <row r="10" spans="1:8" ht="28.8">
      <c r="A10" s="4" t="s">
        <v>14</v>
      </c>
      <c r="B10" s="4" t="s">
        <v>15</v>
      </c>
      <c r="C10" s="4" t="s">
        <v>16</v>
      </c>
      <c r="D10" s="1"/>
      <c r="E10" s="1"/>
      <c r="F10" s="1"/>
      <c r="G10" s="1"/>
      <c r="H10" s="1"/>
    </row>
    <row r="11" spans="1:8" ht="14.4">
      <c r="A11" s="4" t="s">
        <v>17</v>
      </c>
      <c r="B11" s="4" t="s">
        <v>18</v>
      </c>
      <c r="C11" s="4" t="s">
        <v>19</v>
      </c>
      <c r="D11" s="1"/>
      <c r="E11" s="1"/>
      <c r="F11" s="1"/>
      <c r="G11" s="1"/>
      <c r="H11" s="1"/>
    </row>
    <row r="12" spans="1:8" ht="28.8">
      <c r="A12" s="4" t="s">
        <v>20</v>
      </c>
      <c r="B12" s="4" t="s">
        <v>21</v>
      </c>
      <c r="C12" s="4" t="s">
        <v>22</v>
      </c>
      <c r="D12" s="1"/>
      <c r="E12" s="1"/>
      <c r="F12" s="1"/>
      <c r="G12" s="1"/>
      <c r="H12" s="1"/>
    </row>
    <row r="13" spans="1:8" ht="14.4">
      <c r="A13" s="1"/>
      <c r="B13" s="1"/>
      <c r="C13" s="1"/>
      <c r="D13" s="1"/>
      <c r="E13" s="1"/>
      <c r="F13" s="1"/>
      <c r="G13" s="1"/>
      <c r="H13" s="1"/>
    </row>
    <row r="14" spans="1:8" ht="14.4">
      <c r="A14" s="20" t="s">
        <v>23</v>
      </c>
      <c r="B14" s="20"/>
      <c r="C14" s="20"/>
      <c r="D14" s="20"/>
      <c r="E14" s="20"/>
      <c r="F14" s="20"/>
      <c r="G14" s="20"/>
      <c r="H14" s="20"/>
    </row>
    <row r="15" spans="1:8" ht="14.4">
      <c r="A15" s="1"/>
      <c r="B15" s="1"/>
      <c r="C15" s="1"/>
      <c r="D15" s="1"/>
      <c r="E15" s="1"/>
      <c r="F15" s="1"/>
      <c r="G15" s="1"/>
      <c r="H15" s="1"/>
    </row>
    <row r="16" spans="1:8" ht="14.4">
      <c r="A16" s="3" t="s">
        <v>24</v>
      </c>
      <c r="B16" s="3" t="s">
        <v>25</v>
      </c>
      <c r="C16" s="1"/>
      <c r="D16" s="1"/>
      <c r="E16" s="1"/>
      <c r="F16" s="1"/>
      <c r="G16" s="1"/>
      <c r="H16" s="1"/>
    </row>
    <row r="17" spans="1:8" ht="14.4">
      <c r="A17" s="5" t="s">
        <v>26</v>
      </c>
      <c r="B17" s="1" t="s">
        <v>27</v>
      </c>
      <c r="C17" s="1"/>
      <c r="D17" s="1"/>
      <c r="E17" s="1"/>
      <c r="F17" s="1"/>
      <c r="G17" s="1"/>
      <c r="H17" s="1"/>
    </row>
    <row r="18" spans="1:8" ht="14.4">
      <c r="A18" s="6" t="s">
        <v>28</v>
      </c>
      <c r="B18" s="1" t="s">
        <v>29</v>
      </c>
      <c r="C18" s="1"/>
      <c r="D18" s="1"/>
      <c r="E18" s="1"/>
      <c r="F18" s="1"/>
      <c r="G18" s="1"/>
      <c r="H18" s="1"/>
    </row>
    <row r="19" spans="1:8" ht="14.4">
      <c r="A19" s="7" t="s">
        <v>30</v>
      </c>
      <c r="B19" s="1" t="s">
        <v>31</v>
      </c>
      <c r="C19" s="1"/>
      <c r="D19" s="1"/>
      <c r="E19" s="1"/>
      <c r="F19" s="1"/>
      <c r="G19" s="1"/>
      <c r="H19" s="1"/>
    </row>
    <row r="20" spans="1:8" ht="14.4">
      <c r="A20" s="1"/>
      <c r="B20" s="1"/>
      <c r="C20" s="1"/>
      <c r="D20" s="1"/>
      <c r="E20" s="1"/>
      <c r="F20" s="1"/>
      <c r="G20" s="1"/>
      <c r="H20" s="1"/>
    </row>
    <row r="21" spans="1:8" ht="14.4">
      <c r="A21" s="1"/>
      <c r="B21" s="1"/>
      <c r="C21" s="1"/>
      <c r="D21" s="1"/>
      <c r="E21" s="1"/>
      <c r="F21" s="1"/>
      <c r="G21" s="1"/>
      <c r="H21" s="1"/>
    </row>
    <row r="22" spans="1:8" ht="14.4">
      <c r="A22" s="1"/>
      <c r="B22" s="1"/>
      <c r="C22" s="1"/>
      <c r="D22" s="1"/>
      <c r="E22" s="1"/>
      <c r="F22" s="1"/>
      <c r="G22" s="1"/>
      <c r="H22" s="1"/>
    </row>
    <row r="23" spans="1:8" ht="14.4">
      <c r="A23" s="1"/>
      <c r="B23" s="1"/>
      <c r="C23" s="1"/>
      <c r="D23" s="1"/>
      <c r="E23" s="1"/>
      <c r="F23" s="1"/>
      <c r="G23" s="1"/>
      <c r="H23" s="1"/>
    </row>
    <row r="24" spans="1:8" ht="14.4">
      <c r="A24" s="1"/>
      <c r="B24" s="1"/>
      <c r="C24" s="1"/>
      <c r="D24" s="1"/>
      <c r="E24" s="1"/>
      <c r="F24" s="1"/>
      <c r="G24" s="1"/>
      <c r="H24" s="1"/>
    </row>
    <row r="25" spans="1:8" ht="14.4">
      <c r="A25" s="1"/>
      <c r="B25" s="1"/>
      <c r="C25" s="1"/>
      <c r="D25" s="1"/>
      <c r="E25" s="1"/>
      <c r="F25" s="1"/>
      <c r="G25" s="1"/>
      <c r="H25" s="1"/>
    </row>
  </sheetData>
  <sheetProtection algorithmName="SHA-512" hashValue="b5IBLWq9aG9Z2rU7A9X0hCb6rtMjb84GjsTBch0iY60V6+2xc4ftN4g45B9t9GkbD4LVV5KEPv5lDiWByKXIlA==" saltValue="rdDIkeRymXrZQZY8CN531w==" spinCount="100000" sheet="1" formatCells="0" formatColumns="0" formatRows="0" insertColumns="0" insertRows="0" insertHyperlinks="0" deleteColumns="0" deleteRows="0" sort="0" autoFilter="0" pivotTables="0"/>
  <mergeCells count="3">
    <mergeCell ref="A1:H2"/>
    <mergeCell ref="A4:H4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topLeftCell="A16" workbookViewId="0">
      <selection activeCell="B40" sqref="B40"/>
    </sheetView>
  </sheetViews>
  <sheetFormatPr defaultRowHeight="13.8"/>
  <cols>
    <col min="1" max="2" width="22" customWidth="1"/>
    <col min="3" max="3" width="4" customWidth="1"/>
    <col min="4" max="5" width="22" customWidth="1"/>
    <col min="6" max="6" width="34" customWidth="1"/>
  </cols>
  <sheetData>
    <row r="1" spans="1:6">
      <c r="A1" s="18" t="s">
        <v>32</v>
      </c>
      <c r="B1" s="18"/>
      <c r="C1" s="18"/>
      <c r="D1" s="18"/>
      <c r="E1" s="18"/>
      <c r="F1" s="18"/>
    </row>
    <row r="2" spans="1:6">
      <c r="A2" s="18"/>
      <c r="B2" s="18"/>
      <c r="C2" s="18"/>
      <c r="D2" s="18"/>
      <c r="E2" s="18"/>
      <c r="F2" s="18"/>
    </row>
    <row r="3" spans="1:6" ht="14.4">
      <c r="A3" s="1"/>
      <c r="B3" s="1"/>
      <c r="C3" s="1"/>
      <c r="D3" s="1"/>
      <c r="E3" s="1"/>
      <c r="F3" s="1"/>
    </row>
    <row r="4" spans="1:6" ht="14.4">
      <c r="A4" s="3" t="s">
        <v>33</v>
      </c>
      <c r="B4" s="3" t="s">
        <v>34</v>
      </c>
      <c r="C4" s="1"/>
      <c r="D4" s="3" t="s">
        <v>35</v>
      </c>
      <c r="E4" s="3" t="s">
        <v>36</v>
      </c>
      <c r="F4" s="3" t="s">
        <v>37</v>
      </c>
    </row>
    <row r="5" spans="1:6" ht="14.4">
      <c r="A5" s="1" t="s">
        <v>38</v>
      </c>
      <c r="B5" s="8" t="s">
        <v>39</v>
      </c>
      <c r="C5" s="1"/>
      <c r="D5" s="1" t="s">
        <v>40</v>
      </c>
      <c r="E5" s="8">
        <v>10</v>
      </c>
      <c r="F5" s="1" t="s">
        <v>41</v>
      </c>
    </row>
    <row r="6" spans="1:6" ht="14.4">
      <c r="A6" s="1" t="s">
        <v>42</v>
      </c>
      <c r="B6" s="8" t="s">
        <v>43</v>
      </c>
      <c r="C6" s="1"/>
      <c r="D6" s="1" t="s">
        <v>44</v>
      </c>
      <c r="E6" s="8">
        <v>20</v>
      </c>
      <c r="F6" s="1" t="s">
        <v>45</v>
      </c>
    </row>
    <row r="7" spans="1:6" ht="14.4">
      <c r="A7" s="1" t="s">
        <v>46</v>
      </c>
      <c r="B7" s="8" t="s">
        <v>47</v>
      </c>
      <c r="C7" s="1"/>
      <c r="D7" s="1" t="s">
        <v>48</v>
      </c>
      <c r="E7" s="8">
        <v>15</v>
      </c>
      <c r="F7" s="1" t="s">
        <v>49</v>
      </c>
    </row>
    <row r="8" spans="1:6" ht="14.4">
      <c r="A8" s="1" t="s">
        <v>50</v>
      </c>
      <c r="B8" s="8" t="s">
        <v>51</v>
      </c>
      <c r="C8" s="1"/>
      <c r="D8" s="1" t="s">
        <v>52</v>
      </c>
      <c r="E8" s="8">
        <v>15</v>
      </c>
      <c r="F8" s="1" t="s">
        <v>53</v>
      </c>
    </row>
    <row r="9" spans="1:6" ht="14.4">
      <c r="A9" s="1" t="s">
        <v>54</v>
      </c>
      <c r="B9" s="8" t="s">
        <v>55</v>
      </c>
      <c r="C9" s="1"/>
      <c r="D9" s="1" t="s">
        <v>56</v>
      </c>
      <c r="E9" s="8">
        <v>20</v>
      </c>
      <c r="F9" s="1" t="s">
        <v>57</v>
      </c>
    </row>
    <row r="10" spans="1:6" ht="14.4">
      <c r="A10" s="1" t="s">
        <v>58</v>
      </c>
      <c r="B10" s="8" t="s">
        <v>59</v>
      </c>
      <c r="C10" s="1"/>
      <c r="D10" s="1" t="s">
        <v>60</v>
      </c>
      <c r="E10" s="8">
        <v>20</v>
      </c>
      <c r="F10" s="1" t="s">
        <v>61</v>
      </c>
    </row>
    <row r="11" spans="1:6" ht="14.4">
      <c r="A11" s="1" t="s">
        <v>62</v>
      </c>
      <c r="B11" s="8">
        <v>75</v>
      </c>
      <c r="C11" s="1"/>
      <c r="D11" s="1" t="s">
        <v>63</v>
      </c>
      <c r="E11" s="9">
        <f>SUM(E5:E10)</f>
        <v>100</v>
      </c>
      <c r="F11" s="9" t="s">
        <v>64</v>
      </c>
    </row>
    <row r="12" spans="1:6" ht="14.4">
      <c r="A12" s="1" t="s">
        <v>65</v>
      </c>
      <c r="B12" s="8">
        <v>80</v>
      </c>
      <c r="C12" s="1"/>
      <c r="D12" s="1"/>
      <c r="E12" s="1"/>
      <c r="F12" s="1"/>
    </row>
    <row r="13" spans="1:6" ht="14.4">
      <c r="A13" s="1"/>
      <c r="B13" s="1"/>
      <c r="C13" s="1"/>
      <c r="D13" s="1"/>
      <c r="E13" s="1"/>
      <c r="F13" s="1"/>
    </row>
    <row r="14" spans="1:6" ht="14.4">
      <c r="A14" s="1"/>
      <c r="B14" s="1"/>
      <c r="C14" s="1"/>
      <c r="D14" s="1"/>
      <c r="E14" s="1"/>
      <c r="F14" s="1"/>
    </row>
    <row r="15" spans="1:6" ht="72">
      <c r="A15" s="3" t="s">
        <v>66</v>
      </c>
      <c r="B15" s="3" t="s">
        <v>67</v>
      </c>
      <c r="C15" s="3" t="s">
        <v>68</v>
      </c>
      <c r="D15" s="3" t="s">
        <v>69</v>
      </c>
      <c r="E15" s="1"/>
      <c r="F15" s="1"/>
    </row>
    <row r="16" spans="1:6" ht="14.4">
      <c r="A16" s="8">
        <v>97</v>
      </c>
      <c r="B16" s="8">
        <v>100</v>
      </c>
      <c r="C16" s="8">
        <v>1</v>
      </c>
      <c r="D16" s="8" t="s">
        <v>70</v>
      </c>
      <c r="E16" s="1"/>
      <c r="F16" s="1"/>
    </row>
    <row r="17" spans="1:6" ht="14.4">
      <c r="A17" s="8">
        <v>94</v>
      </c>
      <c r="B17" s="8">
        <v>96.99</v>
      </c>
      <c r="C17" s="8">
        <v>1.25</v>
      </c>
      <c r="D17" s="8" t="s">
        <v>71</v>
      </c>
      <c r="E17" s="1"/>
      <c r="F17" s="1"/>
    </row>
    <row r="18" spans="1:6" ht="14.4">
      <c r="A18" s="8">
        <v>91</v>
      </c>
      <c r="B18" s="8">
        <v>93.99</v>
      </c>
      <c r="C18" s="8">
        <v>1.5</v>
      </c>
      <c r="D18" s="8" t="s">
        <v>71</v>
      </c>
      <c r="E18" s="1"/>
      <c r="F18" s="1"/>
    </row>
    <row r="19" spans="1:6" ht="14.4">
      <c r="A19" s="8">
        <v>88</v>
      </c>
      <c r="B19" s="8">
        <v>90.99</v>
      </c>
      <c r="C19" s="8">
        <v>1.75</v>
      </c>
      <c r="D19" s="8" t="s">
        <v>72</v>
      </c>
      <c r="E19" s="1"/>
      <c r="F19" s="1"/>
    </row>
    <row r="20" spans="1:6" ht="14.4">
      <c r="A20" s="8">
        <v>85</v>
      </c>
      <c r="B20" s="8">
        <v>87.99</v>
      </c>
      <c r="C20" s="8">
        <v>2</v>
      </c>
      <c r="D20" s="8" t="s">
        <v>72</v>
      </c>
      <c r="E20" s="1"/>
      <c r="F20" s="1"/>
    </row>
    <row r="21" spans="1:6" ht="14.4">
      <c r="A21" s="8">
        <v>82</v>
      </c>
      <c r="B21" s="8">
        <v>84.99</v>
      </c>
      <c r="C21" s="8">
        <v>2.25</v>
      </c>
      <c r="D21" s="8" t="s">
        <v>73</v>
      </c>
      <c r="E21" s="1"/>
      <c r="F21" s="1"/>
    </row>
    <row r="22" spans="1:6" ht="14.4">
      <c r="A22" s="8">
        <v>79</v>
      </c>
      <c r="B22" s="8">
        <v>81.99</v>
      </c>
      <c r="C22" s="8">
        <v>2.5</v>
      </c>
      <c r="D22" s="8" t="s">
        <v>73</v>
      </c>
      <c r="E22" s="1"/>
      <c r="F22" s="1"/>
    </row>
    <row r="23" spans="1:6" ht="14.4">
      <c r="A23" s="8">
        <v>76</v>
      </c>
      <c r="B23" s="8">
        <v>78.989999999999995</v>
      </c>
      <c r="C23" s="8">
        <v>2.75</v>
      </c>
      <c r="D23" s="8" t="s">
        <v>74</v>
      </c>
      <c r="E23" s="1"/>
      <c r="F23" s="1"/>
    </row>
    <row r="24" spans="1:6" ht="14.4">
      <c r="A24" s="8">
        <v>75</v>
      </c>
      <c r="B24" s="8">
        <v>75.989999999999995</v>
      </c>
      <c r="C24" s="8">
        <v>3</v>
      </c>
      <c r="D24" s="8" t="s">
        <v>74</v>
      </c>
      <c r="E24" s="1"/>
      <c r="F24" s="1"/>
    </row>
    <row r="25" spans="1:6" ht="14.4">
      <c r="A25" s="8">
        <v>65</v>
      </c>
      <c r="B25" s="8">
        <v>74.989999999999995</v>
      </c>
      <c r="C25" s="8">
        <v>4</v>
      </c>
      <c r="D25" s="8" t="s">
        <v>75</v>
      </c>
      <c r="E25" s="1"/>
      <c r="F25" s="1"/>
    </row>
    <row r="26" spans="1:6" ht="14.4">
      <c r="A26" s="8">
        <v>0</v>
      </c>
      <c r="B26" s="8">
        <v>64.989999999999995</v>
      </c>
      <c r="C26" s="8">
        <v>5</v>
      </c>
      <c r="D26" s="8" t="s">
        <v>76</v>
      </c>
      <c r="E26" s="1"/>
      <c r="F26" s="1"/>
    </row>
    <row r="27" spans="1:6" ht="57.6">
      <c r="A27" s="10" t="s">
        <v>77</v>
      </c>
      <c r="B27" s="10"/>
      <c r="C27" s="10"/>
      <c r="D27" s="10" t="s">
        <v>78</v>
      </c>
      <c r="E27" s="1"/>
      <c r="F27" s="1"/>
    </row>
    <row r="28" spans="1:6" ht="14.4">
      <c r="A28" s="1"/>
      <c r="B28" s="1"/>
      <c r="C28" s="1"/>
      <c r="D28" s="1"/>
      <c r="E28" s="1"/>
      <c r="F28" s="1"/>
    </row>
    <row r="29" spans="1:6" ht="14.4">
      <c r="A29" s="1"/>
      <c r="B29" s="1"/>
      <c r="C29" s="1"/>
      <c r="D29" s="1"/>
      <c r="E29" s="1"/>
      <c r="F29" s="1"/>
    </row>
    <row r="30" spans="1:6" ht="14.4">
      <c r="A30" s="1"/>
      <c r="B30" s="1"/>
      <c r="C30" s="1"/>
      <c r="D30" s="1"/>
      <c r="E30" s="1"/>
      <c r="F30" s="1"/>
    </row>
  </sheetData>
  <mergeCells count="1">
    <mergeCell ref="A1:F2"/>
  </mergeCells>
  <conditionalFormatting sqref="E11">
    <cfRule type="expression" dxfId="6" priority="1">
      <formula>E11&lt;&gt;100</formula>
    </cfRule>
    <cfRule type="expression" dxfId="5" priority="2">
      <formula>E11=100</formula>
    </cfRule>
  </conditionalFormatting>
  <dataValidations count="1">
    <dataValidation type="decimal" sqref="E5:E10" xr:uid="{00000000-0002-0000-0100-000000000000}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workbookViewId="0">
      <selection activeCell="D9" sqref="D9"/>
    </sheetView>
  </sheetViews>
  <sheetFormatPr defaultRowHeight="13.8"/>
  <cols>
    <col min="1" max="1" width="8" customWidth="1"/>
    <col min="2" max="2" width="18" customWidth="1"/>
    <col min="3" max="4" width="20" customWidth="1"/>
    <col min="5" max="5" width="14" customWidth="1"/>
    <col min="6" max="6" width="32" customWidth="1"/>
  </cols>
  <sheetData>
    <row r="1" spans="1:6">
      <c r="A1" s="18" t="s">
        <v>79</v>
      </c>
      <c r="B1" s="18"/>
      <c r="C1" s="18"/>
      <c r="D1" s="18"/>
      <c r="E1" s="18"/>
      <c r="F1" s="18"/>
    </row>
    <row r="2" spans="1:6">
      <c r="A2" s="18"/>
      <c r="B2" s="18"/>
      <c r="C2" s="18"/>
      <c r="D2" s="18"/>
      <c r="E2" s="18"/>
      <c r="F2" s="18"/>
    </row>
    <row r="3" spans="1:6" ht="14.4">
      <c r="A3" s="1"/>
      <c r="B3" s="1"/>
      <c r="C3" s="1"/>
      <c r="D3" s="1"/>
      <c r="E3" s="1"/>
      <c r="F3" s="1"/>
    </row>
    <row r="4" spans="1:6" ht="14.4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</row>
    <row r="5" spans="1:6" ht="14.4">
      <c r="A5" s="8">
        <v>1</v>
      </c>
      <c r="B5" s="8" t="s">
        <v>86</v>
      </c>
      <c r="C5" s="8" t="s">
        <v>87</v>
      </c>
      <c r="D5" s="8" t="s">
        <v>88</v>
      </c>
      <c r="E5" s="8" t="s">
        <v>89</v>
      </c>
      <c r="F5" s="9" t="str">
        <f t="shared" ref="F5:F36" si="0">IF(B5="","",TRIM(C5&amp;", "&amp;D5&amp;" "&amp;E5))</f>
        <v>Santos, Andrea M.</v>
      </c>
    </row>
    <row r="6" spans="1:6" ht="14.4">
      <c r="A6" s="8">
        <v>2</v>
      </c>
      <c r="B6" s="8" t="s">
        <v>90</v>
      </c>
      <c r="C6" s="8" t="s">
        <v>91</v>
      </c>
      <c r="D6" s="8" t="s">
        <v>92</v>
      </c>
      <c r="E6" s="8" t="s">
        <v>93</v>
      </c>
      <c r="F6" s="9" t="str">
        <f t="shared" si="0"/>
        <v>Reyes, Brian C.</v>
      </c>
    </row>
    <row r="7" spans="1:6" ht="14.4">
      <c r="A7" s="8">
        <v>3</v>
      </c>
      <c r="B7" s="8" t="s">
        <v>94</v>
      </c>
      <c r="C7" s="8" t="s">
        <v>95</v>
      </c>
      <c r="D7" s="8" t="s">
        <v>96</v>
      </c>
      <c r="E7" s="8" t="s">
        <v>97</v>
      </c>
      <c r="F7" s="9" t="str">
        <f t="shared" si="0"/>
        <v>Cruz, Camille D.</v>
      </c>
    </row>
    <row r="8" spans="1:6" ht="14.4">
      <c r="A8" s="8">
        <v>4</v>
      </c>
      <c r="B8" s="8" t="s">
        <v>98</v>
      </c>
      <c r="C8" s="17" t="s">
        <v>99</v>
      </c>
      <c r="D8" s="8" t="s">
        <v>100</v>
      </c>
      <c r="E8" s="8" t="s">
        <v>101</v>
      </c>
      <c r="F8" s="9" t="str">
        <f t="shared" si="0"/>
        <v>Garcia, Daniel P.</v>
      </c>
    </row>
    <row r="9" spans="1:6" ht="14.4">
      <c r="A9" s="8">
        <v>5</v>
      </c>
      <c r="B9" s="8" t="s">
        <v>102</v>
      </c>
      <c r="C9" s="8" t="s">
        <v>103</v>
      </c>
      <c r="D9" s="8" t="s">
        <v>104</v>
      </c>
      <c r="E9" s="8" t="s">
        <v>105</v>
      </c>
      <c r="F9" s="9" t="str">
        <f t="shared" si="0"/>
        <v>Mendoza, Ella R.</v>
      </c>
    </row>
    <row r="10" spans="1:6" ht="14.4">
      <c r="A10" s="8">
        <v>6</v>
      </c>
      <c r="B10" s="8"/>
      <c r="C10" s="8"/>
      <c r="D10" s="8"/>
      <c r="E10" s="8"/>
      <c r="F10" s="9" t="str">
        <f t="shared" si="0"/>
        <v/>
      </c>
    </row>
    <row r="11" spans="1:6" ht="14.4">
      <c r="A11" s="8">
        <v>7</v>
      </c>
      <c r="B11" s="8"/>
      <c r="C11" s="8"/>
      <c r="D11" s="8"/>
      <c r="E11" s="8"/>
      <c r="F11" s="9" t="str">
        <f t="shared" si="0"/>
        <v/>
      </c>
    </row>
    <row r="12" spans="1:6" ht="14.4">
      <c r="A12" s="8">
        <v>8</v>
      </c>
      <c r="B12" s="8"/>
      <c r="C12" s="8"/>
      <c r="D12" s="8"/>
      <c r="E12" s="8"/>
      <c r="F12" s="9" t="str">
        <f t="shared" si="0"/>
        <v/>
      </c>
    </row>
    <row r="13" spans="1:6" ht="14.4">
      <c r="A13" s="8">
        <v>9</v>
      </c>
      <c r="B13" s="8"/>
      <c r="C13" s="8"/>
      <c r="D13" s="8"/>
      <c r="E13" s="8"/>
      <c r="F13" s="9" t="str">
        <f t="shared" si="0"/>
        <v/>
      </c>
    </row>
    <row r="14" spans="1:6" ht="14.4">
      <c r="A14" s="8">
        <v>10</v>
      </c>
      <c r="B14" s="8"/>
      <c r="C14" s="8"/>
      <c r="D14" s="8"/>
      <c r="E14" s="8"/>
      <c r="F14" s="9" t="str">
        <f t="shared" si="0"/>
        <v/>
      </c>
    </row>
    <row r="15" spans="1:6" ht="14.4">
      <c r="A15" s="8">
        <v>11</v>
      </c>
      <c r="B15" s="8"/>
      <c r="C15" s="8"/>
      <c r="D15" s="8"/>
      <c r="E15" s="8"/>
      <c r="F15" s="9" t="str">
        <f t="shared" si="0"/>
        <v/>
      </c>
    </row>
    <row r="16" spans="1:6" ht="14.4">
      <c r="A16" s="8">
        <v>12</v>
      </c>
      <c r="B16" s="8"/>
      <c r="C16" s="8"/>
      <c r="D16" s="8"/>
      <c r="E16" s="8"/>
      <c r="F16" s="9" t="str">
        <f t="shared" si="0"/>
        <v/>
      </c>
    </row>
    <row r="17" spans="1:6" ht="14.4">
      <c r="A17" s="8">
        <v>13</v>
      </c>
      <c r="B17" s="8"/>
      <c r="C17" s="8"/>
      <c r="D17" s="8"/>
      <c r="E17" s="8"/>
      <c r="F17" s="9" t="str">
        <f t="shared" si="0"/>
        <v/>
      </c>
    </row>
    <row r="18" spans="1:6" ht="14.4">
      <c r="A18" s="8">
        <v>14</v>
      </c>
      <c r="B18" s="8"/>
      <c r="C18" s="8"/>
      <c r="D18" s="8"/>
      <c r="E18" s="8"/>
      <c r="F18" s="9" t="str">
        <f t="shared" si="0"/>
        <v/>
      </c>
    </row>
    <row r="19" spans="1:6" ht="14.4">
      <c r="A19" s="8">
        <v>15</v>
      </c>
      <c r="B19" s="8"/>
      <c r="C19" s="8"/>
      <c r="D19" s="8"/>
      <c r="E19" s="8"/>
      <c r="F19" s="9" t="str">
        <f t="shared" si="0"/>
        <v/>
      </c>
    </row>
    <row r="20" spans="1:6" ht="14.4">
      <c r="A20" s="8">
        <v>16</v>
      </c>
      <c r="B20" s="8"/>
      <c r="C20" s="8"/>
      <c r="D20" s="8"/>
      <c r="E20" s="8"/>
      <c r="F20" s="9" t="str">
        <f t="shared" si="0"/>
        <v/>
      </c>
    </row>
    <row r="21" spans="1:6" ht="14.4">
      <c r="A21" s="8">
        <v>17</v>
      </c>
      <c r="B21" s="8"/>
      <c r="C21" s="8"/>
      <c r="D21" s="8"/>
      <c r="E21" s="8"/>
      <c r="F21" s="9" t="str">
        <f t="shared" si="0"/>
        <v/>
      </c>
    </row>
    <row r="22" spans="1:6" ht="14.4">
      <c r="A22" s="8">
        <v>18</v>
      </c>
      <c r="B22" s="8"/>
      <c r="C22" s="8"/>
      <c r="D22" s="8"/>
      <c r="E22" s="8"/>
      <c r="F22" s="9" t="str">
        <f t="shared" si="0"/>
        <v/>
      </c>
    </row>
    <row r="23" spans="1:6" ht="14.4">
      <c r="A23" s="8">
        <v>19</v>
      </c>
      <c r="B23" s="8"/>
      <c r="C23" s="8"/>
      <c r="D23" s="8"/>
      <c r="E23" s="8"/>
      <c r="F23" s="9" t="str">
        <f t="shared" si="0"/>
        <v/>
      </c>
    </row>
    <row r="24" spans="1:6" ht="14.4">
      <c r="A24" s="8">
        <v>20</v>
      </c>
      <c r="B24" s="8"/>
      <c r="C24" s="8"/>
      <c r="D24" s="8"/>
      <c r="E24" s="8"/>
      <c r="F24" s="9" t="str">
        <f t="shared" si="0"/>
        <v/>
      </c>
    </row>
    <row r="25" spans="1:6" ht="14.4">
      <c r="A25" s="8">
        <v>21</v>
      </c>
      <c r="B25" s="8"/>
      <c r="C25" s="8"/>
      <c r="D25" s="8"/>
      <c r="E25" s="8"/>
      <c r="F25" s="9" t="str">
        <f t="shared" si="0"/>
        <v/>
      </c>
    </row>
    <row r="26" spans="1:6" ht="14.4">
      <c r="A26" s="8">
        <v>22</v>
      </c>
      <c r="B26" s="8"/>
      <c r="C26" s="8"/>
      <c r="D26" s="8"/>
      <c r="E26" s="8"/>
      <c r="F26" s="9" t="str">
        <f t="shared" si="0"/>
        <v/>
      </c>
    </row>
    <row r="27" spans="1:6" ht="14.4">
      <c r="A27" s="8">
        <v>23</v>
      </c>
      <c r="B27" s="8"/>
      <c r="C27" s="8"/>
      <c r="D27" s="8"/>
      <c r="E27" s="8"/>
      <c r="F27" s="9" t="str">
        <f t="shared" si="0"/>
        <v/>
      </c>
    </row>
    <row r="28" spans="1:6" ht="14.4">
      <c r="A28" s="8">
        <v>24</v>
      </c>
      <c r="B28" s="8"/>
      <c r="C28" s="8"/>
      <c r="D28" s="8"/>
      <c r="E28" s="8"/>
      <c r="F28" s="9" t="str">
        <f t="shared" si="0"/>
        <v/>
      </c>
    </row>
    <row r="29" spans="1:6" ht="14.4">
      <c r="A29" s="8">
        <v>25</v>
      </c>
      <c r="B29" s="8"/>
      <c r="C29" s="8"/>
      <c r="D29" s="8"/>
      <c r="E29" s="8"/>
      <c r="F29" s="9" t="str">
        <f t="shared" si="0"/>
        <v/>
      </c>
    </row>
    <row r="30" spans="1:6" ht="14.4">
      <c r="A30" s="8">
        <v>26</v>
      </c>
      <c r="B30" s="8"/>
      <c r="C30" s="8"/>
      <c r="D30" s="8"/>
      <c r="E30" s="8"/>
      <c r="F30" s="9" t="str">
        <f t="shared" si="0"/>
        <v/>
      </c>
    </row>
    <row r="31" spans="1:6" ht="14.4">
      <c r="A31" s="8">
        <v>27</v>
      </c>
      <c r="B31" s="8"/>
      <c r="C31" s="8"/>
      <c r="D31" s="8"/>
      <c r="E31" s="8"/>
      <c r="F31" s="9" t="str">
        <f t="shared" si="0"/>
        <v/>
      </c>
    </row>
    <row r="32" spans="1:6" ht="14.4">
      <c r="A32" s="8">
        <v>28</v>
      </c>
      <c r="B32" s="8"/>
      <c r="C32" s="8"/>
      <c r="D32" s="8"/>
      <c r="E32" s="8"/>
      <c r="F32" s="9" t="str">
        <f t="shared" si="0"/>
        <v/>
      </c>
    </row>
    <row r="33" spans="1:6" ht="14.4">
      <c r="A33" s="8">
        <v>29</v>
      </c>
      <c r="B33" s="8"/>
      <c r="C33" s="8"/>
      <c r="D33" s="8"/>
      <c r="E33" s="8"/>
      <c r="F33" s="9" t="str">
        <f t="shared" si="0"/>
        <v/>
      </c>
    </row>
    <row r="34" spans="1:6" ht="14.4">
      <c r="A34" s="8">
        <v>30</v>
      </c>
      <c r="B34" s="8"/>
      <c r="C34" s="8"/>
      <c r="D34" s="8"/>
      <c r="E34" s="8"/>
      <c r="F34" s="9" t="str">
        <f t="shared" si="0"/>
        <v/>
      </c>
    </row>
    <row r="35" spans="1:6" ht="14.4">
      <c r="A35" s="8">
        <v>31</v>
      </c>
      <c r="B35" s="8"/>
      <c r="C35" s="8"/>
      <c r="D35" s="8"/>
      <c r="E35" s="8"/>
      <c r="F35" s="9" t="str">
        <f t="shared" si="0"/>
        <v/>
      </c>
    </row>
    <row r="36" spans="1:6" ht="14.4">
      <c r="A36" s="8">
        <v>32</v>
      </c>
      <c r="B36" s="8"/>
      <c r="C36" s="8"/>
      <c r="D36" s="8"/>
      <c r="E36" s="8"/>
      <c r="F36" s="9" t="str">
        <f t="shared" si="0"/>
        <v/>
      </c>
    </row>
    <row r="37" spans="1:6" ht="14.4">
      <c r="A37" s="8">
        <v>33</v>
      </c>
      <c r="B37" s="8"/>
      <c r="C37" s="8"/>
      <c r="D37" s="8"/>
      <c r="E37" s="8"/>
      <c r="F37" s="9" t="str">
        <f t="shared" ref="F37:F54" si="1">IF(B37="","",TRIM(C37&amp;", "&amp;D37&amp;" "&amp;E37))</f>
        <v/>
      </c>
    </row>
    <row r="38" spans="1:6" ht="14.4">
      <c r="A38" s="8">
        <v>34</v>
      </c>
      <c r="B38" s="8"/>
      <c r="C38" s="8"/>
      <c r="D38" s="8"/>
      <c r="E38" s="8"/>
      <c r="F38" s="9" t="str">
        <f t="shared" si="1"/>
        <v/>
      </c>
    </row>
    <row r="39" spans="1:6" ht="14.4">
      <c r="A39" s="8">
        <v>35</v>
      </c>
      <c r="B39" s="8"/>
      <c r="C39" s="8"/>
      <c r="D39" s="8"/>
      <c r="E39" s="8"/>
      <c r="F39" s="9" t="str">
        <f t="shared" si="1"/>
        <v/>
      </c>
    </row>
    <row r="40" spans="1:6" ht="14.4">
      <c r="A40" s="8">
        <v>36</v>
      </c>
      <c r="B40" s="8"/>
      <c r="C40" s="8"/>
      <c r="D40" s="8"/>
      <c r="E40" s="8"/>
      <c r="F40" s="9" t="str">
        <f t="shared" si="1"/>
        <v/>
      </c>
    </row>
    <row r="41" spans="1:6" ht="14.4">
      <c r="A41" s="8">
        <v>37</v>
      </c>
      <c r="B41" s="8"/>
      <c r="C41" s="8"/>
      <c r="D41" s="8"/>
      <c r="E41" s="8"/>
      <c r="F41" s="9" t="str">
        <f t="shared" si="1"/>
        <v/>
      </c>
    </row>
    <row r="42" spans="1:6" ht="14.4">
      <c r="A42" s="8">
        <v>38</v>
      </c>
      <c r="B42" s="8"/>
      <c r="C42" s="8"/>
      <c r="D42" s="8"/>
      <c r="E42" s="8"/>
      <c r="F42" s="9" t="str">
        <f t="shared" si="1"/>
        <v/>
      </c>
    </row>
    <row r="43" spans="1:6" ht="14.4">
      <c r="A43" s="8">
        <v>39</v>
      </c>
      <c r="B43" s="8"/>
      <c r="C43" s="8"/>
      <c r="D43" s="8"/>
      <c r="E43" s="8"/>
      <c r="F43" s="9" t="str">
        <f t="shared" si="1"/>
        <v/>
      </c>
    </row>
    <row r="44" spans="1:6" ht="14.4">
      <c r="A44" s="8">
        <v>40</v>
      </c>
      <c r="B44" s="8"/>
      <c r="C44" s="8"/>
      <c r="D44" s="8"/>
      <c r="E44" s="8"/>
      <c r="F44" s="9" t="str">
        <f t="shared" si="1"/>
        <v/>
      </c>
    </row>
    <row r="45" spans="1:6" ht="14.4">
      <c r="A45" s="8">
        <v>41</v>
      </c>
      <c r="B45" s="8"/>
      <c r="C45" s="8"/>
      <c r="D45" s="8"/>
      <c r="E45" s="8"/>
      <c r="F45" s="9" t="str">
        <f t="shared" si="1"/>
        <v/>
      </c>
    </row>
    <row r="46" spans="1:6" ht="14.4">
      <c r="A46" s="8">
        <v>42</v>
      </c>
      <c r="B46" s="8"/>
      <c r="C46" s="8"/>
      <c r="D46" s="8"/>
      <c r="E46" s="8"/>
      <c r="F46" s="9" t="str">
        <f t="shared" si="1"/>
        <v/>
      </c>
    </row>
    <row r="47" spans="1:6" ht="14.4">
      <c r="A47" s="8">
        <v>43</v>
      </c>
      <c r="B47" s="8"/>
      <c r="C47" s="8"/>
      <c r="D47" s="8"/>
      <c r="E47" s="8"/>
      <c r="F47" s="9" t="str">
        <f t="shared" si="1"/>
        <v/>
      </c>
    </row>
    <row r="48" spans="1:6" ht="14.4">
      <c r="A48" s="8">
        <v>44</v>
      </c>
      <c r="B48" s="8"/>
      <c r="C48" s="8"/>
      <c r="D48" s="8"/>
      <c r="E48" s="8"/>
      <c r="F48" s="9" t="str">
        <f t="shared" si="1"/>
        <v/>
      </c>
    </row>
    <row r="49" spans="1:6" ht="14.4">
      <c r="A49" s="8">
        <v>45</v>
      </c>
      <c r="B49" s="8"/>
      <c r="C49" s="8"/>
      <c r="D49" s="8"/>
      <c r="E49" s="8"/>
      <c r="F49" s="9" t="str">
        <f t="shared" si="1"/>
        <v/>
      </c>
    </row>
    <row r="50" spans="1:6" ht="14.4">
      <c r="A50" s="8">
        <v>46</v>
      </c>
      <c r="B50" s="8"/>
      <c r="C50" s="8"/>
      <c r="D50" s="8"/>
      <c r="E50" s="8"/>
      <c r="F50" s="9" t="str">
        <f t="shared" si="1"/>
        <v/>
      </c>
    </row>
    <row r="51" spans="1:6" ht="14.4">
      <c r="A51" s="8">
        <v>47</v>
      </c>
      <c r="B51" s="8"/>
      <c r="C51" s="8"/>
      <c r="D51" s="8"/>
      <c r="E51" s="8"/>
      <c r="F51" s="9" t="str">
        <f t="shared" si="1"/>
        <v/>
      </c>
    </row>
    <row r="52" spans="1:6" ht="14.4">
      <c r="A52" s="8">
        <v>48</v>
      </c>
      <c r="B52" s="8"/>
      <c r="C52" s="8"/>
      <c r="D52" s="8"/>
      <c r="E52" s="8"/>
      <c r="F52" s="9" t="str">
        <f t="shared" si="1"/>
        <v/>
      </c>
    </row>
    <row r="53" spans="1:6" ht="14.4">
      <c r="A53" s="8">
        <v>49</v>
      </c>
      <c r="B53" s="8"/>
      <c r="C53" s="8"/>
      <c r="D53" s="8"/>
      <c r="E53" s="8"/>
      <c r="F53" s="9" t="str">
        <f t="shared" si="1"/>
        <v/>
      </c>
    </row>
    <row r="54" spans="1:6" ht="14.4">
      <c r="A54" s="8">
        <v>50</v>
      </c>
      <c r="B54" s="8"/>
      <c r="C54" s="8"/>
      <c r="D54" s="8"/>
      <c r="E54" s="8"/>
      <c r="F54" s="9" t="str">
        <f t="shared" si="1"/>
        <v/>
      </c>
    </row>
    <row r="55" spans="1:6" ht="14.4">
      <c r="A55" s="1"/>
      <c r="B55" s="1"/>
      <c r="C55" s="1"/>
      <c r="D55" s="1"/>
      <c r="E55" s="1"/>
      <c r="F55" s="1"/>
    </row>
  </sheetData>
  <mergeCells count="1">
    <mergeCell ref="A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55"/>
  <sheetViews>
    <sheetView workbookViewId="0"/>
  </sheetViews>
  <sheetFormatPr defaultRowHeight="13.8"/>
  <cols>
    <col min="1" max="1" width="7" customWidth="1"/>
    <col min="2" max="2" width="17" customWidth="1"/>
    <col min="3" max="3" width="28" customWidth="1"/>
    <col min="4" max="33" width="9" customWidth="1"/>
    <col min="34" max="36" width="12" customWidth="1"/>
    <col min="37" max="38" width="19" customWidth="1"/>
  </cols>
  <sheetData>
    <row r="1" spans="1:38">
      <c r="A1" s="18" t="s">
        <v>106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38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 spans="1:38" ht="14.4">
      <c r="A3" s="21" t="s">
        <v>107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spans="1:38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33.6" customHeight="1">
      <c r="A5" s="3" t="s">
        <v>80</v>
      </c>
      <c r="B5" s="3" t="s">
        <v>81</v>
      </c>
      <c r="C5" s="3" t="s">
        <v>108</v>
      </c>
      <c r="D5" s="11">
        <v>46237</v>
      </c>
      <c r="E5" s="11">
        <v>46240</v>
      </c>
      <c r="F5" s="11">
        <v>46243</v>
      </c>
      <c r="G5" s="11">
        <v>46246</v>
      </c>
      <c r="H5" s="11">
        <v>46249</v>
      </c>
      <c r="I5" s="11">
        <v>46252</v>
      </c>
      <c r="J5" s="11">
        <v>46255</v>
      </c>
      <c r="K5" s="11">
        <v>46258</v>
      </c>
      <c r="L5" s="11">
        <v>46261</v>
      </c>
      <c r="M5" s="11">
        <v>46264</v>
      </c>
      <c r="N5" s="11">
        <v>46267</v>
      </c>
      <c r="O5" s="11">
        <v>46270</v>
      </c>
      <c r="P5" s="11">
        <v>46273</v>
      </c>
      <c r="Q5" s="11">
        <v>46276</v>
      </c>
      <c r="R5" s="11">
        <v>46279</v>
      </c>
      <c r="S5" s="11">
        <v>46282</v>
      </c>
      <c r="T5" s="11">
        <v>46285</v>
      </c>
      <c r="U5" s="11">
        <v>46288</v>
      </c>
      <c r="V5" s="11">
        <v>46291</v>
      </c>
      <c r="W5" s="11">
        <v>46294</v>
      </c>
      <c r="X5" s="11">
        <v>46297</v>
      </c>
      <c r="Y5" s="11">
        <v>46300</v>
      </c>
      <c r="Z5" s="11">
        <v>46303</v>
      </c>
      <c r="AA5" s="11">
        <v>46306</v>
      </c>
      <c r="AB5" s="11">
        <v>46309</v>
      </c>
      <c r="AC5" s="11">
        <v>46312</v>
      </c>
      <c r="AD5" s="11">
        <v>46315</v>
      </c>
      <c r="AE5" s="11">
        <v>46318</v>
      </c>
      <c r="AF5" s="11">
        <v>46321</v>
      </c>
      <c r="AG5" s="11">
        <v>46324</v>
      </c>
      <c r="AH5" s="3" t="s">
        <v>109</v>
      </c>
      <c r="AI5" s="3" t="s">
        <v>110</v>
      </c>
      <c r="AJ5" s="3" t="s">
        <v>111</v>
      </c>
      <c r="AK5" s="3" t="s">
        <v>112</v>
      </c>
      <c r="AL5" s="3" t="s">
        <v>113</v>
      </c>
    </row>
    <row r="6" spans="1:38" ht="14.4">
      <c r="A6" s="1">
        <v>1</v>
      </c>
      <c r="B6" s="1" t="str">
        <f>IF('STUDENT LIST'!B5="","",'STUDENT LIST'!B5)</f>
        <v>2026-00001</v>
      </c>
      <c r="C6" s="1" t="str">
        <f>IF('STUDENT LIST'!F5="","",'STUDENT LIST'!F5)</f>
        <v>Santos, Andrea M.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9">
        <f t="shared" ref="AH6:AH37" si="0">IF(B6="","",COUNTIF(D6:AG6,"P")+COUNTIF(D6:AG6,"L"))</f>
        <v>0</v>
      </c>
      <c r="AI6" s="9">
        <f t="shared" ref="AI6:AI37" si="1">IF(B6="","",COUNTIF(D6:AG6,"A"))</f>
        <v>0</v>
      </c>
      <c r="AJ6" s="9">
        <f t="shared" ref="AJ6:AJ37" si="2">IF(B6="","",COUNTIF(D6:AG6,"E"))</f>
        <v>0</v>
      </c>
      <c r="AK6" s="12" t="str">
        <f t="shared" ref="AK6:AK37" si="3">IF(B6="","",IF(COUNTA(D6:AG6)-AJ6=0,"",AH6/(COUNTA(D6:AG6)-AJ6)*100))</f>
        <v/>
      </c>
      <c r="AL6" s="9" t="str">
        <f>IF(B6="","",IF(AK6&gt;=SETTINGS!$B$12,"Good Standing","Attendance Warning"))</f>
        <v>Good Standing</v>
      </c>
    </row>
    <row r="7" spans="1:38" ht="14.4">
      <c r="A7" s="1">
        <v>2</v>
      </c>
      <c r="B7" s="1" t="str">
        <f>IF('STUDENT LIST'!B6="","",'STUDENT LIST'!B6)</f>
        <v>2026-00002</v>
      </c>
      <c r="C7" s="1" t="str">
        <f>IF('STUDENT LIST'!F6="","",'STUDENT LIST'!F6)</f>
        <v>Reyes, Brian C.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9">
        <f t="shared" si="0"/>
        <v>0</v>
      </c>
      <c r="AI7" s="9">
        <f t="shared" si="1"/>
        <v>0</v>
      </c>
      <c r="AJ7" s="9">
        <f t="shared" si="2"/>
        <v>0</v>
      </c>
      <c r="AK7" s="12" t="str">
        <f t="shared" si="3"/>
        <v/>
      </c>
      <c r="AL7" s="9" t="str">
        <f>IF(B7="","",IF(AK7&gt;=SETTINGS!$B$12,"Good Standing","Attendance Warning"))</f>
        <v>Good Standing</v>
      </c>
    </row>
    <row r="8" spans="1:38" ht="14.4">
      <c r="A8" s="1">
        <v>3</v>
      </c>
      <c r="B8" s="1" t="str">
        <f>IF('STUDENT LIST'!B7="","",'STUDENT LIST'!B7)</f>
        <v>2026-00003</v>
      </c>
      <c r="C8" s="1" t="str">
        <f>IF('STUDENT LIST'!F7="","",'STUDENT LIST'!F7)</f>
        <v>Cruz, Camille D.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9">
        <f t="shared" si="0"/>
        <v>0</v>
      </c>
      <c r="AI8" s="9">
        <f t="shared" si="1"/>
        <v>0</v>
      </c>
      <c r="AJ8" s="9">
        <f t="shared" si="2"/>
        <v>0</v>
      </c>
      <c r="AK8" s="12" t="str">
        <f t="shared" si="3"/>
        <v/>
      </c>
      <c r="AL8" s="9" t="str">
        <f>IF(B8="","",IF(AK8&gt;=SETTINGS!$B$12,"Good Standing","Attendance Warning"))</f>
        <v>Good Standing</v>
      </c>
    </row>
    <row r="9" spans="1:38" ht="14.4">
      <c r="A9" s="1">
        <v>4</v>
      </c>
      <c r="B9" s="1" t="str">
        <f>IF('STUDENT LIST'!B8="","",'STUDENT LIST'!B8)</f>
        <v>2026-00004</v>
      </c>
      <c r="C9" s="1" t="str">
        <f>IF('STUDENT LIST'!F8="","",'STUDENT LIST'!F8)</f>
        <v>Garcia, Daniel P.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9">
        <f t="shared" si="0"/>
        <v>0</v>
      </c>
      <c r="AI9" s="9">
        <f t="shared" si="1"/>
        <v>0</v>
      </c>
      <c r="AJ9" s="9">
        <f t="shared" si="2"/>
        <v>0</v>
      </c>
      <c r="AK9" s="12" t="str">
        <f t="shared" si="3"/>
        <v/>
      </c>
      <c r="AL9" s="9" t="str">
        <f>IF(B9="","",IF(AK9&gt;=SETTINGS!$B$12,"Good Standing","Attendance Warning"))</f>
        <v>Good Standing</v>
      </c>
    </row>
    <row r="10" spans="1:38" ht="14.4">
      <c r="A10" s="1">
        <v>5</v>
      </c>
      <c r="B10" s="1" t="str">
        <f>IF('STUDENT LIST'!B9="","",'STUDENT LIST'!B9)</f>
        <v>2026-00005</v>
      </c>
      <c r="C10" s="1" t="str">
        <f>IF('STUDENT LIST'!F9="","",'STUDENT LIST'!F9)</f>
        <v>Mendoza, Ella R.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9">
        <f t="shared" si="0"/>
        <v>0</v>
      </c>
      <c r="AI10" s="9">
        <f t="shared" si="1"/>
        <v>0</v>
      </c>
      <c r="AJ10" s="9">
        <f t="shared" si="2"/>
        <v>0</v>
      </c>
      <c r="AK10" s="12" t="str">
        <f t="shared" si="3"/>
        <v/>
      </c>
      <c r="AL10" s="9" t="str">
        <f>IF(B10="","",IF(AK10&gt;=SETTINGS!$B$12,"Good Standing","Attendance Warning"))</f>
        <v>Good Standing</v>
      </c>
    </row>
    <row r="11" spans="1:38" ht="14.4">
      <c r="A11" s="1">
        <v>6</v>
      </c>
      <c r="B11" s="1" t="str">
        <f>IF('STUDENT LIST'!B10="","",'STUDENT LIST'!B10)</f>
        <v/>
      </c>
      <c r="C11" s="1" t="str">
        <f>IF('STUDENT LIST'!F10="","",'STUDENT LIST'!F10)</f>
        <v/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 t="str">
        <f t="shared" si="0"/>
        <v/>
      </c>
      <c r="AI11" s="9" t="str">
        <f t="shared" si="1"/>
        <v/>
      </c>
      <c r="AJ11" s="9" t="str">
        <f t="shared" si="2"/>
        <v/>
      </c>
      <c r="AK11" s="12" t="str">
        <f t="shared" si="3"/>
        <v/>
      </c>
      <c r="AL11" s="9" t="str">
        <f>IF(B11="","",IF(AK11&gt;=SETTINGS!$B$12,"Good Standing","Attendance Warning"))</f>
        <v/>
      </c>
    </row>
    <row r="12" spans="1:38" ht="14.4">
      <c r="A12" s="1">
        <v>7</v>
      </c>
      <c r="B12" s="1" t="str">
        <f>IF('STUDENT LIST'!B11="","",'STUDENT LIST'!B11)</f>
        <v/>
      </c>
      <c r="C12" s="1" t="str">
        <f>IF('STUDENT LIST'!F11="","",'STUDENT LIST'!F11)</f>
        <v/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9" t="str">
        <f t="shared" si="0"/>
        <v/>
      </c>
      <c r="AI12" s="9" t="str">
        <f t="shared" si="1"/>
        <v/>
      </c>
      <c r="AJ12" s="9" t="str">
        <f t="shared" si="2"/>
        <v/>
      </c>
      <c r="AK12" s="12" t="str">
        <f t="shared" si="3"/>
        <v/>
      </c>
      <c r="AL12" s="9" t="str">
        <f>IF(B12="","",IF(AK12&gt;=SETTINGS!$B$12,"Good Standing","Attendance Warning"))</f>
        <v/>
      </c>
    </row>
    <row r="13" spans="1:38" ht="14.4">
      <c r="A13" s="1">
        <v>8</v>
      </c>
      <c r="B13" s="1" t="str">
        <f>IF('STUDENT LIST'!B12="","",'STUDENT LIST'!B12)</f>
        <v/>
      </c>
      <c r="C13" s="1" t="str">
        <f>IF('STUDENT LIST'!F12="","",'STUDENT LIST'!F12)</f>
        <v/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9" t="str">
        <f t="shared" si="0"/>
        <v/>
      </c>
      <c r="AI13" s="9" t="str">
        <f t="shared" si="1"/>
        <v/>
      </c>
      <c r="AJ13" s="9" t="str">
        <f t="shared" si="2"/>
        <v/>
      </c>
      <c r="AK13" s="12" t="str">
        <f t="shared" si="3"/>
        <v/>
      </c>
      <c r="AL13" s="9" t="str">
        <f>IF(B13="","",IF(AK13&gt;=SETTINGS!$B$12,"Good Standing","Attendance Warning"))</f>
        <v/>
      </c>
    </row>
    <row r="14" spans="1:38" ht="14.4">
      <c r="A14" s="1">
        <v>9</v>
      </c>
      <c r="B14" s="1" t="str">
        <f>IF('STUDENT LIST'!B13="","",'STUDENT LIST'!B13)</f>
        <v/>
      </c>
      <c r="C14" s="1" t="str">
        <f>IF('STUDENT LIST'!F13="","",'STUDENT LIST'!F13)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9" t="str">
        <f t="shared" si="0"/>
        <v/>
      </c>
      <c r="AI14" s="9" t="str">
        <f t="shared" si="1"/>
        <v/>
      </c>
      <c r="AJ14" s="9" t="str">
        <f t="shared" si="2"/>
        <v/>
      </c>
      <c r="AK14" s="12" t="str">
        <f t="shared" si="3"/>
        <v/>
      </c>
      <c r="AL14" s="9" t="str">
        <f>IF(B14="","",IF(AK14&gt;=SETTINGS!$B$12,"Good Standing","Attendance Warning"))</f>
        <v/>
      </c>
    </row>
    <row r="15" spans="1:38" ht="14.4">
      <c r="A15" s="1">
        <v>10</v>
      </c>
      <c r="B15" s="1" t="str">
        <f>IF('STUDENT LIST'!B14="","",'STUDENT LIST'!B14)</f>
        <v/>
      </c>
      <c r="C15" s="1" t="str">
        <f>IF('STUDENT LIST'!F14="","",'STUDENT LIST'!F14)</f>
        <v/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9" t="str">
        <f t="shared" si="0"/>
        <v/>
      </c>
      <c r="AI15" s="9" t="str">
        <f t="shared" si="1"/>
        <v/>
      </c>
      <c r="AJ15" s="9" t="str">
        <f t="shared" si="2"/>
        <v/>
      </c>
      <c r="AK15" s="12" t="str">
        <f t="shared" si="3"/>
        <v/>
      </c>
      <c r="AL15" s="9" t="str">
        <f>IF(B15="","",IF(AK15&gt;=SETTINGS!$B$12,"Good Standing","Attendance Warning"))</f>
        <v/>
      </c>
    </row>
    <row r="16" spans="1:38" ht="14.4">
      <c r="A16" s="1">
        <v>11</v>
      </c>
      <c r="B16" s="1" t="str">
        <f>IF('STUDENT LIST'!B15="","",'STUDENT LIST'!B15)</f>
        <v/>
      </c>
      <c r="C16" s="1" t="str">
        <f>IF('STUDENT LIST'!F15="","",'STUDENT LIST'!F15)</f>
        <v/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9" t="str">
        <f t="shared" si="0"/>
        <v/>
      </c>
      <c r="AI16" s="9" t="str">
        <f t="shared" si="1"/>
        <v/>
      </c>
      <c r="AJ16" s="9" t="str">
        <f t="shared" si="2"/>
        <v/>
      </c>
      <c r="AK16" s="12" t="str">
        <f t="shared" si="3"/>
        <v/>
      </c>
      <c r="AL16" s="9" t="str">
        <f>IF(B16="","",IF(AK16&gt;=SETTINGS!$B$12,"Good Standing","Attendance Warning"))</f>
        <v/>
      </c>
    </row>
    <row r="17" spans="1:38" ht="14.4">
      <c r="A17" s="1">
        <v>12</v>
      </c>
      <c r="B17" s="1" t="str">
        <f>IF('STUDENT LIST'!B16="","",'STUDENT LIST'!B16)</f>
        <v/>
      </c>
      <c r="C17" s="1" t="str">
        <f>IF('STUDENT LIST'!F16="","",'STUDENT LIST'!F16)</f>
        <v/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9" t="str">
        <f t="shared" si="0"/>
        <v/>
      </c>
      <c r="AI17" s="9" t="str">
        <f t="shared" si="1"/>
        <v/>
      </c>
      <c r="AJ17" s="9" t="str">
        <f t="shared" si="2"/>
        <v/>
      </c>
      <c r="AK17" s="12" t="str">
        <f t="shared" si="3"/>
        <v/>
      </c>
      <c r="AL17" s="9" t="str">
        <f>IF(B17="","",IF(AK17&gt;=SETTINGS!$B$12,"Good Standing","Attendance Warning"))</f>
        <v/>
      </c>
    </row>
    <row r="18" spans="1:38" ht="14.4">
      <c r="A18" s="1">
        <v>13</v>
      </c>
      <c r="B18" s="1" t="str">
        <f>IF('STUDENT LIST'!B17="","",'STUDENT LIST'!B17)</f>
        <v/>
      </c>
      <c r="C18" s="1" t="str">
        <f>IF('STUDENT LIST'!F17="","",'STUDENT LIST'!F17)</f>
        <v/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9" t="str">
        <f t="shared" si="0"/>
        <v/>
      </c>
      <c r="AI18" s="9" t="str">
        <f t="shared" si="1"/>
        <v/>
      </c>
      <c r="AJ18" s="9" t="str">
        <f t="shared" si="2"/>
        <v/>
      </c>
      <c r="AK18" s="12" t="str">
        <f t="shared" si="3"/>
        <v/>
      </c>
      <c r="AL18" s="9" t="str">
        <f>IF(B18="","",IF(AK18&gt;=SETTINGS!$B$12,"Good Standing","Attendance Warning"))</f>
        <v/>
      </c>
    </row>
    <row r="19" spans="1:38" ht="14.4">
      <c r="A19" s="1">
        <v>14</v>
      </c>
      <c r="B19" s="1" t="str">
        <f>IF('STUDENT LIST'!B18="","",'STUDENT LIST'!B18)</f>
        <v/>
      </c>
      <c r="C19" s="1" t="str">
        <f>IF('STUDENT LIST'!F18="","",'STUDENT LIST'!F18)</f>
        <v/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9" t="str">
        <f t="shared" si="0"/>
        <v/>
      </c>
      <c r="AI19" s="9" t="str">
        <f t="shared" si="1"/>
        <v/>
      </c>
      <c r="AJ19" s="9" t="str">
        <f t="shared" si="2"/>
        <v/>
      </c>
      <c r="AK19" s="12" t="str">
        <f t="shared" si="3"/>
        <v/>
      </c>
      <c r="AL19" s="9" t="str">
        <f>IF(B19="","",IF(AK19&gt;=SETTINGS!$B$12,"Good Standing","Attendance Warning"))</f>
        <v/>
      </c>
    </row>
    <row r="20" spans="1:38" ht="14.4">
      <c r="A20" s="1">
        <v>15</v>
      </c>
      <c r="B20" s="1" t="str">
        <f>IF('STUDENT LIST'!B19="","",'STUDENT LIST'!B19)</f>
        <v/>
      </c>
      <c r="C20" s="1" t="str">
        <f>IF('STUDENT LIST'!F19="","",'STUDENT LIST'!F19)</f>
        <v/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 t="str">
        <f t="shared" si="0"/>
        <v/>
      </c>
      <c r="AI20" s="9" t="str">
        <f t="shared" si="1"/>
        <v/>
      </c>
      <c r="AJ20" s="9" t="str">
        <f t="shared" si="2"/>
        <v/>
      </c>
      <c r="AK20" s="12" t="str">
        <f t="shared" si="3"/>
        <v/>
      </c>
      <c r="AL20" s="9" t="str">
        <f>IF(B20="","",IF(AK20&gt;=SETTINGS!$B$12,"Good Standing","Attendance Warning"))</f>
        <v/>
      </c>
    </row>
    <row r="21" spans="1:38" ht="14.4">
      <c r="A21" s="1">
        <v>16</v>
      </c>
      <c r="B21" s="1" t="str">
        <f>IF('STUDENT LIST'!B20="","",'STUDENT LIST'!B20)</f>
        <v/>
      </c>
      <c r="C21" s="1" t="str">
        <f>IF('STUDENT LIST'!F20="","",'STUDENT LIST'!F20)</f>
        <v/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 t="str">
        <f t="shared" si="0"/>
        <v/>
      </c>
      <c r="AI21" s="9" t="str">
        <f t="shared" si="1"/>
        <v/>
      </c>
      <c r="AJ21" s="9" t="str">
        <f t="shared" si="2"/>
        <v/>
      </c>
      <c r="AK21" s="12" t="str">
        <f t="shared" si="3"/>
        <v/>
      </c>
      <c r="AL21" s="9" t="str">
        <f>IF(B21="","",IF(AK21&gt;=SETTINGS!$B$12,"Good Standing","Attendance Warning"))</f>
        <v/>
      </c>
    </row>
    <row r="22" spans="1:38" ht="14.4">
      <c r="A22" s="1">
        <v>17</v>
      </c>
      <c r="B22" s="1" t="str">
        <f>IF('STUDENT LIST'!B21="","",'STUDENT LIST'!B21)</f>
        <v/>
      </c>
      <c r="C22" s="1" t="str">
        <f>IF('STUDENT LIST'!F21="","",'STUDENT LIST'!F21)</f>
        <v/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9" t="str">
        <f t="shared" si="0"/>
        <v/>
      </c>
      <c r="AI22" s="9" t="str">
        <f t="shared" si="1"/>
        <v/>
      </c>
      <c r="AJ22" s="9" t="str">
        <f t="shared" si="2"/>
        <v/>
      </c>
      <c r="AK22" s="12" t="str">
        <f t="shared" si="3"/>
        <v/>
      </c>
      <c r="AL22" s="9" t="str">
        <f>IF(B22="","",IF(AK22&gt;=SETTINGS!$B$12,"Good Standing","Attendance Warning"))</f>
        <v/>
      </c>
    </row>
    <row r="23" spans="1:38" ht="14.4">
      <c r="A23" s="1">
        <v>18</v>
      </c>
      <c r="B23" s="1" t="str">
        <f>IF('STUDENT LIST'!B22="","",'STUDENT LIST'!B22)</f>
        <v/>
      </c>
      <c r="C23" s="1" t="str">
        <f>IF('STUDENT LIST'!F22="","",'STUDENT LIST'!F22)</f>
        <v/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9" t="str">
        <f t="shared" si="0"/>
        <v/>
      </c>
      <c r="AI23" s="9" t="str">
        <f t="shared" si="1"/>
        <v/>
      </c>
      <c r="AJ23" s="9" t="str">
        <f t="shared" si="2"/>
        <v/>
      </c>
      <c r="AK23" s="12" t="str">
        <f t="shared" si="3"/>
        <v/>
      </c>
      <c r="AL23" s="9" t="str">
        <f>IF(B23="","",IF(AK23&gt;=SETTINGS!$B$12,"Good Standing","Attendance Warning"))</f>
        <v/>
      </c>
    </row>
    <row r="24" spans="1:38" ht="14.4">
      <c r="A24" s="1">
        <v>19</v>
      </c>
      <c r="B24" s="1" t="str">
        <f>IF('STUDENT LIST'!B23="","",'STUDENT LIST'!B23)</f>
        <v/>
      </c>
      <c r="C24" s="1" t="str">
        <f>IF('STUDENT LIST'!F23="","",'STUDENT LIST'!F23)</f>
        <v/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 t="str">
        <f t="shared" si="0"/>
        <v/>
      </c>
      <c r="AI24" s="9" t="str">
        <f t="shared" si="1"/>
        <v/>
      </c>
      <c r="AJ24" s="9" t="str">
        <f t="shared" si="2"/>
        <v/>
      </c>
      <c r="AK24" s="12" t="str">
        <f t="shared" si="3"/>
        <v/>
      </c>
      <c r="AL24" s="9" t="str">
        <f>IF(B24="","",IF(AK24&gt;=SETTINGS!$B$12,"Good Standing","Attendance Warning"))</f>
        <v/>
      </c>
    </row>
    <row r="25" spans="1:38" ht="14.4">
      <c r="A25" s="1">
        <v>20</v>
      </c>
      <c r="B25" s="1" t="str">
        <f>IF('STUDENT LIST'!B24="","",'STUDENT LIST'!B24)</f>
        <v/>
      </c>
      <c r="C25" s="1" t="str">
        <f>IF('STUDENT LIST'!F24="","",'STUDENT LIST'!F24)</f>
        <v/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9" t="str">
        <f t="shared" si="0"/>
        <v/>
      </c>
      <c r="AI25" s="9" t="str">
        <f t="shared" si="1"/>
        <v/>
      </c>
      <c r="AJ25" s="9" t="str">
        <f t="shared" si="2"/>
        <v/>
      </c>
      <c r="AK25" s="12" t="str">
        <f t="shared" si="3"/>
        <v/>
      </c>
      <c r="AL25" s="9" t="str">
        <f>IF(B25="","",IF(AK25&gt;=SETTINGS!$B$12,"Good Standing","Attendance Warning"))</f>
        <v/>
      </c>
    </row>
    <row r="26" spans="1:38" ht="14.4">
      <c r="A26" s="1">
        <v>21</v>
      </c>
      <c r="B26" s="1" t="str">
        <f>IF('STUDENT LIST'!B25="","",'STUDENT LIST'!B25)</f>
        <v/>
      </c>
      <c r="C26" s="1" t="str">
        <f>IF('STUDENT LIST'!F25="","",'STUDENT LIST'!F25)</f>
        <v/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9" t="str">
        <f t="shared" si="0"/>
        <v/>
      </c>
      <c r="AI26" s="9" t="str">
        <f t="shared" si="1"/>
        <v/>
      </c>
      <c r="AJ26" s="9" t="str">
        <f t="shared" si="2"/>
        <v/>
      </c>
      <c r="AK26" s="12" t="str">
        <f t="shared" si="3"/>
        <v/>
      </c>
      <c r="AL26" s="9" t="str">
        <f>IF(B26="","",IF(AK26&gt;=SETTINGS!$B$12,"Good Standing","Attendance Warning"))</f>
        <v/>
      </c>
    </row>
    <row r="27" spans="1:38" ht="14.4">
      <c r="A27" s="1">
        <v>22</v>
      </c>
      <c r="B27" s="1" t="str">
        <f>IF('STUDENT LIST'!B26="","",'STUDENT LIST'!B26)</f>
        <v/>
      </c>
      <c r="C27" s="1" t="str">
        <f>IF('STUDENT LIST'!F26="","",'STUDENT LIST'!F26)</f>
        <v/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9" t="str">
        <f t="shared" si="0"/>
        <v/>
      </c>
      <c r="AI27" s="9" t="str">
        <f t="shared" si="1"/>
        <v/>
      </c>
      <c r="AJ27" s="9" t="str">
        <f t="shared" si="2"/>
        <v/>
      </c>
      <c r="AK27" s="12" t="str">
        <f t="shared" si="3"/>
        <v/>
      </c>
      <c r="AL27" s="9" t="str">
        <f>IF(B27="","",IF(AK27&gt;=SETTINGS!$B$12,"Good Standing","Attendance Warning"))</f>
        <v/>
      </c>
    </row>
    <row r="28" spans="1:38" ht="14.4">
      <c r="A28" s="1">
        <v>23</v>
      </c>
      <c r="B28" s="1" t="str">
        <f>IF('STUDENT LIST'!B27="","",'STUDENT LIST'!B27)</f>
        <v/>
      </c>
      <c r="C28" s="1" t="str">
        <f>IF('STUDENT LIST'!F27="","",'STUDENT LIST'!F27)</f>
        <v/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9" t="str">
        <f t="shared" si="0"/>
        <v/>
      </c>
      <c r="AI28" s="9" t="str">
        <f t="shared" si="1"/>
        <v/>
      </c>
      <c r="AJ28" s="9" t="str">
        <f t="shared" si="2"/>
        <v/>
      </c>
      <c r="AK28" s="12" t="str">
        <f t="shared" si="3"/>
        <v/>
      </c>
      <c r="AL28" s="9" t="str">
        <f>IF(B28="","",IF(AK28&gt;=SETTINGS!$B$12,"Good Standing","Attendance Warning"))</f>
        <v/>
      </c>
    </row>
    <row r="29" spans="1:38" ht="14.4">
      <c r="A29" s="1">
        <v>24</v>
      </c>
      <c r="B29" s="1" t="str">
        <f>IF('STUDENT LIST'!B28="","",'STUDENT LIST'!B28)</f>
        <v/>
      </c>
      <c r="C29" s="1" t="str">
        <f>IF('STUDENT LIST'!F28="","",'STUDENT LIST'!F28)</f>
        <v/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9" t="str">
        <f t="shared" si="0"/>
        <v/>
      </c>
      <c r="AI29" s="9" t="str">
        <f t="shared" si="1"/>
        <v/>
      </c>
      <c r="AJ29" s="9" t="str">
        <f t="shared" si="2"/>
        <v/>
      </c>
      <c r="AK29" s="12" t="str">
        <f t="shared" si="3"/>
        <v/>
      </c>
      <c r="AL29" s="9" t="str">
        <f>IF(B29="","",IF(AK29&gt;=SETTINGS!$B$12,"Good Standing","Attendance Warning"))</f>
        <v/>
      </c>
    </row>
    <row r="30" spans="1:38" ht="14.4">
      <c r="A30" s="1">
        <v>25</v>
      </c>
      <c r="B30" s="1" t="str">
        <f>IF('STUDENT LIST'!B29="","",'STUDENT LIST'!B29)</f>
        <v/>
      </c>
      <c r="C30" s="1" t="str">
        <f>IF('STUDENT LIST'!F29="","",'STUDENT LIST'!F29)</f>
        <v/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9" t="str">
        <f t="shared" si="0"/>
        <v/>
      </c>
      <c r="AI30" s="9" t="str">
        <f t="shared" si="1"/>
        <v/>
      </c>
      <c r="AJ30" s="9" t="str">
        <f t="shared" si="2"/>
        <v/>
      </c>
      <c r="AK30" s="12" t="str">
        <f t="shared" si="3"/>
        <v/>
      </c>
      <c r="AL30" s="9" t="str">
        <f>IF(B30="","",IF(AK30&gt;=SETTINGS!$B$12,"Good Standing","Attendance Warning"))</f>
        <v/>
      </c>
    </row>
    <row r="31" spans="1:38" ht="14.4">
      <c r="A31" s="1">
        <v>26</v>
      </c>
      <c r="B31" s="1" t="str">
        <f>IF('STUDENT LIST'!B30="","",'STUDENT LIST'!B30)</f>
        <v/>
      </c>
      <c r="C31" s="1" t="str">
        <f>IF('STUDENT LIST'!F30="","",'STUDENT LIST'!F30)</f>
        <v/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 t="str">
        <f t="shared" si="0"/>
        <v/>
      </c>
      <c r="AI31" s="9" t="str">
        <f t="shared" si="1"/>
        <v/>
      </c>
      <c r="AJ31" s="9" t="str">
        <f t="shared" si="2"/>
        <v/>
      </c>
      <c r="AK31" s="12" t="str">
        <f t="shared" si="3"/>
        <v/>
      </c>
      <c r="AL31" s="9" t="str">
        <f>IF(B31="","",IF(AK31&gt;=SETTINGS!$B$12,"Good Standing","Attendance Warning"))</f>
        <v/>
      </c>
    </row>
    <row r="32" spans="1:38" ht="14.4">
      <c r="A32" s="1">
        <v>27</v>
      </c>
      <c r="B32" s="1" t="str">
        <f>IF('STUDENT LIST'!B31="","",'STUDENT LIST'!B31)</f>
        <v/>
      </c>
      <c r="C32" s="1" t="str">
        <f>IF('STUDENT LIST'!F31="","",'STUDENT LIST'!F31)</f>
        <v/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9" t="str">
        <f t="shared" si="0"/>
        <v/>
      </c>
      <c r="AI32" s="9" t="str">
        <f t="shared" si="1"/>
        <v/>
      </c>
      <c r="AJ32" s="9" t="str">
        <f t="shared" si="2"/>
        <v/>
      </c>
      <c r="AK32" s="12" t="str">
        <f t="shared" si="3"/>
        <v/>
      </c>
      <c r="AL32" s="9" t="str">
        <f>IF(B32="","",IF(AK32&gt;=SETTINGS!$B$12,"Good Standing","Attendance Warning"))</f>
        <v/>
      </c>
    </row>
    <row r="33" spans="1:38" ht="14.4">
      <c r="A33" s="1">
        <v>28</v>
      </c>
      <c r="B33" s="1" t="str">
        <f>IF('STUDENT LIST'!B32="","",'STUDENT LIST'!B32)</f>
        <v/>
      </c>
      <c r="C33" s="1" t="str">
        <f>IF('STUDENT LIST'!F32="","",'STUDENT LIST'!F32)</f>
        <v/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9" t="str">
        <f t="shared" si="0"/>
        <v/>
      </c>
      <c r="AI33" s="9" t="str">
        <f t="shared" si="1"/>
        <v/>
      </c>
      <c r="AJ33" s="9" t="str">
        <f t="shared" si="2"/>
        <v/>
      </c>
      <c r="AK33" s="12" t="str">
        <f t="shared" si="3"/>
        <v/>
      </c>
      <c r="AL33" s="9" t="str">
        <f>IF(B33="","",IF(AK33&gt;=SETTINGS!$B$12,"Good Standing","Attendance Warning"))</f>
        <v/>
      </c>
    </row>
    <row r="34" spans="1:38" ht="14.4">
      <c r="A34" s="1">
        <v>29</v>
      </c>
      <c r="B34" s="1" t="str">
        <f>IF('STUDENT LIST'!B33="","",'STUDENT LIST'!B33)</f>
        <v/>
      </c>
      <c r="C34" s="1" t="str">
        <f>IF('STUDENT LIST'!F33="","",'STUDENT LIST'!F33)</f>
        <v/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9" t="str">
        <f t="shared" si="0"/>
        <v/>
      </c>
      <c r="AI34" s="9" t="str">
        <f t="shared" si="1"/>
        <v/>
      </c>
      <c r="AJ34" s="9" t="str">
        <f t="shared" si="2"/>
        <v/>
      </c>
      <c r="AK34" s="12" t="str">
        <f t="shared" si="3"/>
        <v/>
      </c>
      <c r="AL34" s="9" t="str">
        <f>IF(B34="","",IF(AK34&gt;=SETTINGS!$B$12,"Good Standing","Attendance Warning"))</f>
        <v/>
      </c>
    </row>
    <row r="35" spans="1:38" ht="14.4">
      <c r="A35" s="1">
        <v>30</v>
      </c>
      <c r="B35" s="1" t="str">
        <f>IF('STUDENT LIST'!B34="","",'STUDENT LIST'!B34)</f>
        <v/>
      </c>
      <c r="C35" s="1" t="str">
        <f>IF('STUDENT LIST'!F34="","",'STUDENT LIST'!F34)</f>
        <v/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9" t="str">
        <f t="shared" si="0"/>
        <v/>
      </c>
      <c r="AI35" s="9" t="str">
        <f t="shared" si="1"/>
        <v/>
      </c>
      <c r="AJ35" s="9" t="str">
        <f t="shared" si="2"/>
        <v/>
      </c>
      <c r="AK35" s="12" t="str">
        <f t="shared" si="3"/>
        <v/>
      </c>
      <c r="AL35" s="9" t="str">
        <f>IF(B35="","",IF(AK35&gt;=SETTINGS!$B$12,"Good Standing","Attendance Warning"))</f>
        <v/>
      </c>
    </row>
    <row r="36" spans="1:38" ht="14.4">
      <c r="A36" s="1">
        <v>31</v>
      </c>
      <c r="B36" s="1" t="str">
        <f>IF('STUDENT LIST'!B35="","",'STUDENT LIST'!B35)</f>
        <v/>
      </c>
      <c r="C36" s="1" t="str">
        <f>IF('STUDENT LIST'!F35="","",'STUDENT LIST'!F35)</f>
        <v/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9" t="str">
        <f t="shared" si="0"/>
        <v/>
      </c>
      <c r="AI36" s="9" t="str">
        <f t="shared" si="1"/>
        <v/>
      </c>
      <c r="AJ36" s="9" t="str">
        <f t="shared" si="2"/>
        <v/>
      </c>
      <c r="AK36" s="12" t="str">
        <f t="shared" si="3"/>
        <v/>
      </c>
      <c r="AL36" s="9" t="str">
        <f>IF(B36="","",IF(AK36&gt;=SETTINGS!$B$12,"Good Standing","Attendance Warning"))</f>
        <v/>
      </c>
    </row>
    <row r="37" spans="1:38" ht="14.4">
      <c r="A37" s="1">
        <v>32</v>
      </c>
      <c r="B37" s="1" t="str">
        <f>IF('STUDENT LIST'!B36="","",'STUDENT LIST'!B36)</f>
        <v/>
      </c>
      <c r="C37" s="1" t="str">
        <f>IF('STUDENT LIST'!F36="","",'STUDENT LIST'!F36)</f>
        <v/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9" t="str">
        <f t="shared" si="0"/>
        <v/>
      </c>
      <c r="AI37" s="9" t="str">
        <f t="shared" si="1"/>
        <v/>
      </c>
      <c r="AJ37" s="9" t="str">
        <f t="shared" si="2"/>
        <v/>
      </c>
      <c r="AK37" s="12" t="str">
        <f t="shared" si="3"/>
        <v/>
      </c>
      <c r="AL37" s="9" t="str">
        <f>IF(B37="","",IF(AK37&gt;=SETTINGS!$B$12,"Good Standing","Attendance Warning"))</f>
        <v/>
      </c>
    </row>
    <row r="38" spans="1:38" ht="14.4">
      <c r="A38" s="1">
        <v>33</v>
      </c>
      <c r="B38" s="1" t="str">
        <f>IF('STUDENT LIST'!B37="","",'STUDENT LIST'!B37)</f>
        <v/>
      </c>
      <c r="C38" s="1" t="str">
        <f>IF('STUDENT LIST'!F37="","",'STUDENT LIST'!F37)</f>
        <v/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9" t="str">
        <f t="shared" ref="AH38:AH55" si="4">IF(B38="","",COUNTIF(D38:AG38,"P")+COUNTIF(D38:AG38,"L"))</f>
        <v/>
      </c>
      <c r="AI38" s="9" t="str">
        <f t="shared" ref="AI38:AI55" si="5">IF(B38="","",COUNTIF(D38:AG38,"A"))</f>
        <v/>
      </c>
      <c r="AJ38" s="9" t="str">
        <f t="shared" ref="AJ38:AJ55" si="6">IF(B38="","",COUNTIF(D38:AG38,"E"))</f>
        <v/>
      </c>
      <c r="AK38" s="12" t="str">
        <f t="shared" ref="AK38:AK55" si="7">IF(B38="","",IF(COUNTA(D38:AG38)-AJ38=0,"",AH38/(COUNTA(D38:AG38)-AJ38)*100))</f>
        <v/>
      </c>
      <c r="AL38" s="9" t="str">
        <f>IF(B38="","",IF(AK38&gt;=SETTINGS!$B$12,"Good Standing","Attendance Warning"))</f>
        <v/>
      </c>
    </row>
    <row r="39" spans="1:38" ht="14.4">
      <c r="A39" s="1">
        <v>34</v>
      </c>
      <c r="B39" s="1" t="str">
        <f>IF('STUDENT LIST'!B38="","",'STUDENT LIST'!B38)</f>
        <v/>
      </c>
      <c r="C39" s="1" t="str">
        <f>IF('STUDENT LIST'!F38="","",'STUDENT LIST'!F38)</f>
        <v/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9" t="str">
        <f t="shared" si="4"/>
        <v/>
      </c>
      <c r="AI39" s="9" t="str">
        <f t="shared" si="5"/>
        <v/>
      </c>
      <c r="AJ39" s="9" t="str">
        <f t="shared" si="6"/>
        <v/>
      </c>
      <c r="AK39" s="12" t="str">
        <f t="shared" si="7"/>
        <v/>
      </c>
      <c r="AL39" s="9" t="str">
        <f>IF(B39="","",IF(AK39&gt;=SETTINGS!$B$12,"Good Standing","Attendance Warning"))</f>
        <v/>
      </c>
    </row>
    <row r="40" spans="1:38" ht="14.4">
      <c r="A40" s="1">
        <v>35</v>
      </c>
      <c r="B40" s="1" t="str">
        <f>IF('STUDENT LIST'!B39="","",'STUDENT LIST'!B39)</f>
        <v/>
      </c>
      <c r="C40" s="1" t="str">
        <f>IF('STUDENT LIST'!F39="","",'STUDENT LIST'!F39)</f>
        <v/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9" t="str">
        <f t="shared" si="4"/>
        <v/>
      </c>
      <c r="AI40" s="9" t="str">
        <f t="shared" si="5"/>
        <v/>
      </c>
      <c r="AJ40" s="9" t="str">
        <f t="shared" si="6"/>
        <v/>
      </c>
      <c r="AK40" s="12" t="str">
        <f t="shared" si="7"/>
        <v/>
      </c>
      <c r="AL40" s="9" t="str">
        <f>IF(B40="","",IF(AK40&gt;=SETTINGS!$B$12,"Good Standing","Attendance Warning"))</f>
        <v/>
      </c>
    </row>
    <row r="41" spans="1:38" ht="14.4">
      <c r="A41" s="1">
        <v>36</v>
      </c>
      <c r="B41" s="1" t="str">
        <f>IF('STUDENT LIST'!B40="","",'STUDENT LIST'!B40)</f>
        <v/>
      </c>
      <c r="C41" s="1" t="str">
        <f>IF('STUDENT LIST'!F40="","",'STUDENT LIST'!F40)</f>
        <v/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 t="str">
        <f t="shared" si="4"/>
        <v/>
      </c>
      <c r="AI41" s="9" t="str">
        <f t="shared" si="5"/>
        <v/>
      </c>
      <c r="AJ41" s="9" t="str">
        <f t="shared" si="6"/>
        <v/>
      </c>
      <c r="AK41" s="12" t="str">
        <f t="shared" si="7"/>
        <v/>
      </c>
      <c r="AL41" s="9" t="str">
        <f>IF(B41="","",IF(AK41&gt;=SETTINGS!$B$12,"Good Standing","Attendance Warning"))</f>
        <v/>
      </c>
    </row>
    <row r="42" spans="1:38" ht="14.4">
      <c r="A42" s="1">
        <v>37</v>
      </c>
      <c r="B42" s="1" t="str">
        <f>IF('STUDENT LIST'!B41="","",'STUDENT LIST'!B41)</f>
        <v/>
      </c>
      <c r="C42" s="1" t="str">
        <f>IF('STUDENT LIST'!F41="","",'STUDENT LIST'!F41)</f>
        <v/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9" t="str">
        <f t="shared" si="4"/>
        <v/>
      </c>
      <c r="AI42" s="9" t="str">
        <f t="shared" si="5"/>
        <v/>
      </c>
      <c r="AJ42" s="9" t="str">
        <f t="shared" si="6"/>
        <v/>
      </c>
      <c r="AK42" s="12" t="str">
        <f t="shared" si="7"/>
        <v/>
      </c>
      <c r="AL42" s="9" t="str">
        <f>IF(B42="","",IF(AK42&gt;=SETTINGS!$B$12,"Good Standing","Attendance Warning"))</f>
        <v/>
      </c>
    </row>
    <row r="43" spans="1:38" ht="14.4">
      <c r="A43" s="1">
        <v>38</v>
      </c>
      <c r="B43" s="1" t="str">
        <f>IF('STUDENT LIST'!B42="","",'STUDENT LIST'!B42)</f>
        <v/>
      </c>
      <c r="C43" s="1" t="str">
        <f>IF('STUDENT LIST'!F42="","",'STUDENT LIST'!F42)</f>
        <v/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9" t="str">
        <f t="shared" si="4"/>
        <v/>
      </c>
      <c r="AI43" s="9" t="str">
        <f t="shared" si="5"/>
        <v/>
      </c>
      <c r="AJ43" s="9" t="str">
        <f t="shared" si="6"/>
        <v/>
      </c>
      <c r="AK43" s="12" t="str">
        <f t="shared" si="7"/>
        <v/>
      </c>
      <c r="AL43" s="9" t="str">
        <f>IF(B43="","",IF(AK43&gt;=SETTINGS!$B$12,"Good Standing","Attendance Warning"))</f>
        <v/>
      </c>
    </row>
    <row r="44" spans="1:38" ht="14.4">
      <c r="A44" s="1">
        <v>39</v>
      </c>
      <c r="B44" s="1" t="str">
        <f>IF('STUDENT LIST'!B43="","",'STUDENT LIST'!B43)</f>
        <v/>
      </c>
      <c r="C44" s="1" t="str">
        <f>IF('STUDENT LIST'!F43="","",'STUDENT LIST'!F43)</f>
        <v/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9" t="str">
        <f t="shared" si="4"/>
        <v/>
      </c>
      <c r="AI44" s="9" t="str">
        <f t="shared" si="5"/>
        <v/>
      </c>
      <c r="AJ44" s="9" t="str">
        <f t="shared" si="6"/>
        <v/>
      </c>
      <c r="AK44" s="12" t="str">
        <f t="shared" si="7"/>
        <v/>
      </c>
      <c r="AL44" s="9" t="str">
        <f>IF(B44="","",IF(AK44&gt;=SETTINGS!$B$12,"Good Standing","Attendance Warning"))</f>
        <v/>
      </c>
    </row>
    <row r="45" spans="1:38" ht="14.4">
      <c r="A45" s="1">
        <v>40</v>
      </c>
      <c r="B45" s="1" t="str">
        <f>IF('STUDENT LIST'!B44="","",'STUDENT LIST'!B44)</f>
        <v/>
      </c>
      <c r="C45" s="1" t="str">
        <f>IF('STUDENT LIST'!F44="","",'STUDENT LIST'!F44)</f>
        <v/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9" t="str">
        <f t="shared" si="4"/>
        <v/>
      </c>
      <c r="AI45" s="9" t="str">
        <f t="shared" si="5"/>
        <v/>
      </c>
      <c r="AJ45" s="9" t="str">
        <f t="shared" si="6"/>
        <v/>
      </c>
      <c r="AK45" s="12" t="str">
        <f t="shared" si="7"/>
        <v/>
      </c>
      <c r="AL45" s="9" t="str">
        <f>IF(B45="","",IF(AK45&gt;=SETTINGS!$B$12,"Good Standing","Attendance Warning"))</f>
        <v/>
      </c>
    </row>
    <row r="46" spans="1:38" ht="14.4">
      <c r="A46" s="1">
        <v>41</v>
      </c>
      <c r="B46" s="1" t="str">
        <f>IF('STUDENT LIST'!B45="","",'STUDENT LIST'!B45)</f>
        <v/>
      </c>
      <c r="C46" s="1" t="str">
        <f>IF('STUDENT LIST'!F45="","",'STUDENT LIST'!F45)</f>
        <v/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9" t="str">
        <f t="shared" si="4"/>
        <v/>
      </c>
      <c r="AI46" s="9" t="str">
        <f t="shared" si="5"/>
        <v/>
      </c>
      <c r="AJ46" s="9" t="str">
        <f t="shared" si="6"/>
        <v/>
      </c>
      <c r="AK46" s="12" t="str">
        <f t="shared" si="7"/>
        <v/>
      </c>
      <c r="AL46" s="9" t="str">
        <f>IF(B46="","",IF(AK46&gt;=SETTINGS!$B$12,"Good Standing","Attendance Warning"))</f>
        <v/>
      </c>
    </row>
    <row r="47" spans="1:38" ht="14.4">
      <c r="A47" s="1">
        <v>42</v>
      </c>
      <c r="B47" s="1" t="str">
        <f>IF('STUDENT LIST'!B46="","",'STUDENT LIST'!B46)</f>
        <v/>
      </c>
      <c r="C47" s="1" t="str">
        <f>IF('STUDENT LIST'!F46="","",'STUDENT LIST'!F46)</f>
        <v/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9" t="str">
        <f t="shared" si="4"/>
        <v/>
      </c>
      <c r="AI47" s="9" t="str">
        <f t="shared" si="5"/>
        <v/>
      </c>
      <c r="AJ47" s="9" t="str">
        <f t="shared" si="6"/>
        <v/>
      </c>
      <c r="AK47" s="12" t="str">
        <f t="shared" si="7"/>
        <v/>
      </c>
      <c r="AL47" s="9" t="str">
        <f>IF(B47="","",IF(AK47&gt;=SETTINGS!$B$12,"Good Standing","Attendance Warning"))</f>
        <v/>
      </c>
    </row>
    <row r="48" spans="1:38" ht="14.4">
      <c r="A48" s="1">
        <v>43</v>
      </c>
      <c r="B48" s="1" t="str">
        <f>IF('STUDENT LIST'!B47="","",'STUDENT LIST'!B47)</f>
        <v/>
      </c>
      <c r="C48" s="1" t="str">
        <f>IF('STUDENT LIST'!F47="","",'STUDENT LIST'!F47)</f>
        <v/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9" t="str">
        <f t="shared" si="4"/>
        <v/>
      </c>
      <c r="AI48" s="9" t="str">
        <f t="shared" si="5"/>
        <v/>
      </c>
      <c r="AJ48" s="9" t="str">
        <f t="shared" si="6"/>
        <v/>
      </c>
      <c r="AK48" s="12" t="str">
        <f t="shared" si="7"/>
        <v/>
      </c>
      <c r="AL48" s="9" t="str">
        <f>IF(B48="","",IF(AK48&gt;=SETTINGS!$B$12,"Good Standing","Attendance Warning"))</f>
        <v/>
      </c>
    </row>
    <row r="49" spans="1:38" ht="14.4">
      <c r="A49" s="1">
        <v>44</v>
      </c>
      <c r="B49" s="1" t="str">
        <f>IF('STUDENT LIST'!B48="","",'STUDENT LIST'!B48)</f>
        <v/>
      </c>
      <c r="C49" s="1" t="str">
        <f>IF('STUDENT LIST'!F48="","",'STUDENT LIST'!F48)</f>
        <v/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9" t="str">
        <f t="shared" si="4"/>
        <v/>
      </c>
      <c r="AI49" s="9" t="str">
        <f t="shared" si="5"/>
        <v/>
      </c>
      <c r="AJ49" s="9" t="str">
        <f t="shared" si="6"/>
        <v/>
      </c>
      <c r="AK49" s="12" t="str">
        <f t="shared" si="7"/>
        <v/>
      </c>
      <c r="AL49" s="9" t="str">
        <f>IF(B49="","",IF(AK49&gt;=SETTINGS!$B$12,"Good Standing","Attendance Warning"))</f>
        <v/>
      </c>
    </row>
    <row r="50" spans="1:38" ht="14.4">
      <c r="A50" s="1">
        <v>45</v>
      </c>
      <c r="B50" s="1" t="str">
        <f>IF('STUDENT LIST'!B49="","",'STUDENT LIST'!B49)</f>
        <v/>
      </c>
      <c r="C50" s="1" t="str">
        <f>IF('STUDENT LIST'!F49="","",'STUDENT LIST'!F49)</f>
        <v/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9" t="str">
        <f t="shared" si="4"/>
        <v/>
      </c>
      <c r="AI50" s="9" t="str">
        <f t="shared" si="5"/>
        <v/>
      </c>
      <c r="AJ50" s="9" t="str">
        <f t="shared" si="6"/>
        <v/>
      </c>
      <c r="AK50" s="12" t="str">
        <f t="shared" si="7"/>
        <v/>
      </c>
      <c r="AL50" s="9" t="str">
        <f>IF(B50="","",IF(AK50&gt;=SETTINGS!$B$12,"Good Standing","Attendance Warning"))</f>
        <v/>
      </c>
    </row>
    <row r="51" spans="1:38" ht="14.4">
      <c r="A51" s="1">
        <v>46</v>
      </c>
      <c r="B51" s="1" t="str">
        <f>IF('STUDENT LIST'!B50="","",'STUDENT LIST'!B50)</f>
        <v/>
      </c>
      <c r="C51" s="1" t="str">
        <f>IF('STUDENT LIST'!F50="","",'STUDENT LIST'!F50)</f>
        <v/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9" t="str">
        <f t="shared" si="4"/>
        <v/>
      </c>
      <c r="AI51" s="9" t="str">
        <f t="shared" si="5"/>
        <v/>
      </c>
      <c r="AJ51" s="9" t="str">
        <f t="shared" si="6"/>
        <v/>
      </c>
      <c r="AK51" s="12" t="str">
        <f t="shared" si="7"/>
        <v/>
      </c>
      <c r="AL51" s="9" t="str">
        <f>IF(B51="","",IF(AK51&gt;=SETTINGS!$B$12,"Good Standing","Attendance Warning"))</f>
        <v/>
      </c>
    </row>
    <row r="52" spans="1:38" ht="14.4">
      <c r="A52" s="1">
        <v>47</v>
      </c>
      <c r="B52" s="1" t="str">
        <f>IF('STUDENT LIST'!B51="","",'STUDENT LIST'!B51)</f>
        <v/>
      </c>
      <c r="C52" s="1" t="str">
        <f>IF('STUDENT LIST'!F51="","",'STUDENT LIST'!F51)</f>
        <v/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9" t="str">
        <f t="shared" si="4"/>
        <v/>
      </c>
      <c r="AI52" s="9" t="str">
        <f t="shared" si="5"/>
        <v/>
      </c>
      <c r="AJ52" s="9" t="str">
        <f t="shared" si="6"/>
        <v/>
      </c>
      <c r="AK52" s="12" t="str">
        <f t="shared" si="7"/>
        <v/>
      </c>
      <c r="AL52" s="9" t="str">
        <f>IF(B52="","",IF(AK52&gt;=SETTINGS!$B$12,"Good Standing","Attendance Warning"))</f>
        <v/>
      </c>
    </row>
    <row r="53" spans="1:38" ht="14.4">
      <c r="A53" s="1">
        <v>48</v>
      </c>
      <c r="B53" s="1" t="str">
        <f>IF('STUDENT LIST'!B52="","",'STUDENT LIST'!B52)</f>
        <v/>
      </c>
      <c r="C53" s="1" t="str">
        <f>IF('STUDENT LIST'!F52="","",'STUDENT LIST'!F52)</f>
        <v/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9" t="str">
        <f t="shared" si="4"/>
        <v/>
      </c>
      <c r="AI53" s="9" t="str">
        <f t="shared" si="5"/>
        <v/>
      </c>
      <c r="AJ53" s="9" t="str">
        <f t="shared" si="6"/>
        <v/>
      </c>
      <c r="AK53" s="12" t="str">
        <f t="shared" si="7"/>
        <v/>
      </c>
      <c r="AL53" s="9" t="str">
        <f>IF(B53="","",IF(AK53&gt;=SETTINGS!$B$12,"Good Standing","Attendance Warning"))</f>
        <v/>
      </c>
    </row>
    <row r="54" spans="1:38" ht="14.4">
      <c r="A54" s="1">
        <v>49</v>
      </c>
      <c r="B54" s="1" t="str">
        <f>IF('STUDENT LIST'!B53="","",'STUDENT LIST'!B53)</f>
        <v/>
      </c>
      <c r="C54" s="1" t="str">
        <f>IF('STUDENT LIST'!F53="","",'STUDENT LIST'!F53)</f>
        <v/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9" t="str">
        <f t="shared" si="4"/>
        <v/>
      </c>
      <c r="AI54" s="9" t="str">
        <f t="shared" si="5"/>
        <v/>
      </c>
      <c r="AJ54" s="9" t="str">
        <f t="shared" si="6"/>
        <v/>
      </c>
      <c r="AK54" s="12" t="str">
        <f t="shared" si="7"/>
        <v/>
      </c>
      <c r="AL54" s="9" t="str">
        <f>IF(B54="","",IF(AK54&gt;=SETTINGS!$B$12,"Good Standing","Attendance Warning"))</f>
        <v/>
      </c>
    </row>
    <row r="55" spans="1:38" ht="14.4">
      <c r="A55" s="1">
        <v>50</v>
      </c>
      <c r="B55" s="1" t="str">
        <f>IF('STUDENT LIST'!B54="","",'STUDENT LIST'!B54)</f>
        <v/>
      </c>
      <c r="C55" s="1" t="str">
        <f>IF('STUDENT LIST'!F54="","",'STUDENT LIST'!F54)</f>
        <v/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9" t="str">
        <f t="shared" si="4"/>
        <v/>
      </c>
      <c r="AI55" s="9" t="str">
        <f t="shared" si="5"/>
        <v/>
      </c>
      <c r="AJ55" s="9" t="str">
        <f t="shared" si="6"/>
        <v/>
      </c>
      <c r="AK55" s="12" t="str">
        <f t="shared" si="7"/>
        <v/>
      </c>
      <c r="AL55" s="9" t="str">
        <f>IF(B55="","",IF(AK55&gt;=SETTINGS!$B$12,"Good Standing","Attendance Warning"))</f>
        <v/>
      </c>
    </row>
  </sheetData>
  <mergeCells count="2">
    <mergeCell ref="A1:AL2"/>
    <mergeCell ref="A3:AL3"/>
  </mergeCells>
  <conditionalFormatting sqref="AK6:AK55">
    <cfRule type="colorScale" priority="1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AL6:AL55">
    <cfRule type="expression" dxfId="4" priority="2">
      <formula>AL6="Attendance Warning"</formula>
    </cfRule>
  </conditionalFormatting>
  <dataValidations count="1">
    <dataValidation type="list" sqref="D6:AG55" xr:uid="{00000000-0002-0000-0300-000000000000}">
      <formula1>"P,A,L,E"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5"/>
  <sheetViews>
    <sheetView tabSelected="1" workbookViewId="0">
      <selection sqref="A1:Q2"/>
    </sheetView>
  </sheetViews>
  <sheetFormatPr defaultRowHeight="13.8"/>
  <cols>
    <col min="1" max="1" width="7" customWidth="1"/>
    <col min="2" max="2" width="17" customWidth="1"/>
    <col min="3" max="3" width="28" customWidth="1"/>
    <col min="4" max="17" width="12" customWidth="1"/>
  </cols>
  <sheetData>
    <row r="1" spans="1:17">
      <c r="A1" s="18" t="s">
        <v>114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14.4">
      <c r="A3" s="21" t="s">
        <v>115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28.8">
      <c r="A4" s="3" t="s">
        <v>80</v>
      </c>
      <c r="B4" s="3" t="s">
        <v>81</v>
      </c>
      <c r="C4" s="3" t="s">
        <v>108</v>
      </c>
      <c r="D4" s="3" t="s">
        <v>116</v>
      </c>
      <c r="E4" s="3" t="s">
        <v>117</v>
      </c>
      <c r="F4" s="3" t="s">
        <v>118</v>
      </c>
      <c r="G4" s="3" t="s">
        <v>119</v>
      </c>
      <c r="H4" s="3" t="s">
        <v>120</v>
      </c>
      <c r="I4" s="3" t="s">
        <v>121</v>
      </c>
      <c r="J4" s="3" t="s">
        <v>122</v>
      </c>
      <c r="K4" s="3" t="s">
        <v>123</v>
      </c>
      <c r="L4" s="3" t="s">
        <v>124</v>
      </c>
      <c r="M4" s="3" t="s">
        <v>125</v>
      </c>
      <c r="N4" s="3" t="s">
        <v>126</v>
      </c>
      <c r="O4" s="3" t="s">
        <v>127</v>
      </c>
      <c r="P4" s="3" t="s">
        <v>56</v>
      </c>
      <c r="Q4" s="3" t="s">
        <v>60</v>
      </c>
    </row>
    <row r="5" spans="1:17" ht="14.4">
      <c r="A5" s="13" t="s">
        <v>128</v>
      </c>
      <c r="B5" s="13"/>
      <c r="C5" s="13"/>
      <c r="D5" s="14">
        <v>20</v>
      </c>
      <c r="E5" s="14">
        <v>20</v>
      </c>
      <c r="F5" s="14">
        <v>25</v>
      </c>
      <c r="G5" s="14">
        <v>25</v>
      </c>
      <c r="H5" s="14">
        <v>30</v>
      </c>
      <c r="I5" s="14">
        <v>20</v>
      </c>
      <c r="J5" s="14">
        <v>20</v>
      </c>
      <c r="K5" s="14">
        <v>25</v>
      </c>
      <c r="L5" s="14">
        <v>25</v>
      </c>
      <c r="M5" s="14">
        <v>30</v>
      </c>
      <c r="N5" s="14">
        <v>100</v>
      </c>
      <c r="O5" s="14">
        <v>100</v>
      </c>
      <c r="P5" s="14">
        <v>100</v>
      </c>
      <c r="Q5" s="14">
        <v>100</v>
      </c>
    </row>
    <row r="6" spans="1:17" ht="14.4">
      <c r="A6" s="1">
        <v>1</v>
      </c>
      <c r="B6" s="1" t="str">
        <f>IF('STUDENT LIST'!B5="","",'STUDENT LIST'!B5)</f>
        <v>2026-00001</v>
      </c>
      <c r="C6" s="1" t="str">
        <f>IF('STUDENT LIST'!F5="","",'STUDENT LIST'!F5)</f>
        <v>Santos, Andrea M.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14.4">
      <c r="A7" s="1">
        <v>2</v>
      </c>
      <c r="B7" s="1" t="str">
        <f>IF('STUDENT LIST'!B6="","",'STUDENT LIST'!B6)</f>
        <v>2026-00002</v>
      </c>
      <c r="C7" s="1" t="str">
        <f>IF('STUDENT LIST'!F6="","",'STUDENT LIST'!F6)</f>
        <v>Reyes, Brian C.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ht="14.4">
      <c r="A8" s="1">
        <v>3</v>
      </c>
      <c r="B8" s="1" t="str">
        <f>IF('STUDENT LIST'!B7="","",'STUDENT LIST'!B7)</f>
        <v>2026-00003</v>
      </c>
      <c r="C8" s="1" t="str">
        <f>IF('STUDENT LIST'!F7="","",'STUDENT LIST'!F7)</f>
        <v>Cruz, Camille D.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14.4">
      <c r="A9" s="1">
        <v>4</v>
      </c>
      <c r="B9" s="1" t="str">
        <f>IF('STUDENT LIST'!B8="","",'STUDENT LIST'!B8)</f>
        <v>2026-00004</v>
      </c>
      <c r="C9" s="1" t="str">
        <f>IF('STUDENT LIST'!F8="","",'STUDENT LIST'!F8)</f>
        <v>Garcia, Daniel P.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ht="14.4">
      <c r="A10" s="1">
        <v>5</v>
      </c>
      <c r="B10" s="1" t="str">
        <f>IF('STUDENT LIST'!B9="","",'STUDENT LIST'!B9)</f>
        <v>2026-00005</v>
      </c>
      <c r="C10" s="1" t="str">
        <f>IF('STUDENT LIST'!F9="","",'STUDENT LIST'!F9)</f>
        <v>Mendoza, Ella R.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ht="14.4">
      <c r="A11" s="1">
        <v>6</v>
      </c>
      <c r="B11" s="1" t="str">
        <f>IF('STUDENT LIST'!B10="","",'STUDENT LIST'!B10)</f>
        <v/>
      </c>
      <c r="C11" s="1" t="str">
        <f>IF('STUDENT LIST'!F10="","",'STUDENT LIST'!F10)</f>
        <v/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ht="14.4">
      <c r="A12" s="1">
        <v>7</v>
      </c>
      <c r="B12" s="1" t="str">
        <f>IF('STUDENT LIST'!B11="","",'STUDENT LIST'!B11)</f>
        <v/>
      </c>
      <c r="C12" s="1" t="str">
        <f>IF('STUDENT LIST'!F11="","",'STUDENT LIST'!F11)</f>
        <v/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ht="14.4">
      <c r="A13" s="1">
        <v>8</v>
      </c>
      <c r="B13" s="1" t="str">
        <f>IF('STUDENT LIST'!B12="","",'STUDENT LIST'!B12)</f>
        <v/>
      </c>
      <c r="C13" s="1" t="str">
        <f>IF('STUDENT LIST'!F12="","",'STUDENT LIST'!F12)</f>
        <v/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ht="14.4">
      <c r="A14" s="1">
        <v>9</v>
      </c>
      <c r="B14" s="1" t="str">
        <f>IF('STUDENT LIST'!B13="","",'STUDENT LIST'!B13)</f>
        <v/>
      </c>
      <c r="C14" s="1" t="str">
        <f>IF('STUDENT LIST'!F13="","",'STUDENT LIST'!F13)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ht="14.4">
      <c r="A15" s="1">
        <v>10</v>
      </c>
      <c r="B15" s="1" t="str">
        <f>IF('STUDENT LIST'!B14="","",'STUDENT LIST'!B14)</f>
        <v/>
      </c>
      <c r="C15" s="1" t="str">
        <f>IF('STUDENT LIST'!F14="","",'STUDENT LIST'!F14)</f>
        <v/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14.4">
      <c r="A16" s="1">
        <v>11</v>
      </c>
      <c r="B16" s="1" t="str">
        <f>IF('STUDENT LIST'!B15="","",'STUDENT LIST'!B15)</f>
        <v/>
      </c>
      <c r="C16" s="1" t="str">
        <f>IF('STUDENT LIST'!F15="","",'STUDENT LIST'!F15)</f>
        <v/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ht="14.4">
      <c r="A17" s="1">
        <v>12</v>
      </c>
      <c r="B17" s="1" t="str">
        <f>IF('STUDENT LIST'!B16="","",'STUDENT LIST'!B16)</f>
        <v/>
      </c>
      <c r="C17" s="1" t="str">
        <f>IF('STUDENT LIST'!F16="","",'STUDENT LIST'!F16)</f>
        <v/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ht="14.4">
      <c r="A18" s="1">
        <v>13</v>
      </c>
      <c r="B18" s="1" t="str">
        <f>IF('STUDENT LIST'!B17="","",'STUDENT LIST'!B17)</f>
        <v/>
      </c>
      <c r="C18" s="1" t="str">
        <f>IF('STUDENT LIST'!F17="","",'STUDENT LIST'!F17)</f>
        <v/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ht="14.4">
      <c r="A19" s="1">
        <v>14</v>
      </c>
      <c r="B19" s="1" t="str">
        <f>IF('STUDENT LIST'!B18="","",'STUDENT LIST'!B18)</f>
        <v/>
      </c>
      <c r="C19" s="1" t="str">
        <f>IF('STUDENT LIST'!F18="","",'STUDENT LIST'!F18)</f>
        <v/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ht="14.4">
      <c r="A20" s="1">
        <v>15</v>
      </c>
      <c r="B20" s="1" t="str">
        <f>IF('STUDENT LIST'!B19="","",'STUDENT LIST'!B19)</f>
        <v/>
      </c>
      <c r="C20" s="1" t="str">
        <f>IF('STUDENT LIST'!F19="","",'STUDENT LIST'!F19)</f>
        <v/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ht="14.4">
      <c r="A21" s="1">
        <v>16</v>
      </c>
      <c r="B21" s="1" t="str">
        <f>IF('STUDENT LIST'!B20="","",'STUDENT LIST'!B20)</f>
        <v/>
      </c>
      <c r="C21" s="1" t="str">
        <f>IF('STUDENT LIST'!F20="","",'STUDENT LIST'!F20)</f>
        <v/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ht="14.4">
      <c r="A22" s="1">
        <v>17</v>
      </c>
      <c r="B22" s="1" t="str">
        <f>IF('STUDENT LIST'!B21="","",'STUDENT LIST'!B21)</f>
        <v/>
      </c>
      <c r="C22" s="1" t="str">
        <f>IF('STUDENT LIST'!F21="","",'STUDENT LIST'!F21)</f>
        <v/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ht="14.4">
      <c r="A23" s="1">
        <v>18</v>
      </c>
      <c r="B23" s="1" t="str">
        <f>IF('STUDENT LIST'!B22="","",'STUDENT LIST'!B22)</f>
        <v/>
      </c>
      <c r="C23" s="1" t="str">
        <f>IF('STUDENT LIST'!F22="","",'STUDENT LIST'!F22)</f>
        <v/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ht="14.4">
      <c r="A24" s="1">
        <v>19</v>
      </c>
      <c r="B24" s="1" t="str">
        <f>IF('STUDENT LIST'!B23="","",'STUDENT LIST'!B23)</f>
        <v/>
      </c>
      <c r="C24" s="1" t="str">
        <f>IF('STUDENT LIST'!F23="","",'STUDENT LIST'!F23)</f>
        <v/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ht="14.4">
      <c r="A25" s="1">
        <v>20</v>
      </c>
      <c r="B25" s="1" t="str">
        <f>IF('STUDENT LIST'!B24="","",'STUDENT LIST'!B24)</f>
        <v/>
      </c>
      <c r="C25" s="1" t="str">
        <f>IF('STUDENT LIST'!F24="","",'STUDENT LIST'!F24)</f>
        <v/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ht="14.4">
      <c r="A26" s="1">
        <v>21</v>
      </c>
      <c r="B26" s="1" t="str">
        <f>IF('STUDENT LIST'!B25="","",'STUDENT LIST'!B25)</f>
        <v/>
      </c>
      <c r="C26" s="1" t="str">
        <f>IF('STUDENT LIST'!F25="","",'STUDENT LIST'!F25)</f>
        <v/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ht="14.4">
      <c r="A27" s="1">
        <v>22</v>
      </c>
      <c r="B27" s="1" t="str">
        <f>IF('STUDENT LIST'!B26="","",'STUDENT LIST'!B26)</f>
        <v/>
      </c>
      <c r="C27" s="1" t="str">
        <f>IF('STUDENT LIST'!F26="","",'STUDENT LIST'!F26)</f>
        <v/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ht="14.4">
      <c r="A28" s="1">
        <v>23</v>
      </c>
      <c r="B28" s="1" t="str">
        <f>IF('STUDENT LIST'!B27="","",'STUDENT LIST'!B27)</f>
        <v/>
      </c>
      <c r="C28" s="1" t="str">
        <f>IF('STUDENT LIST'!F27="","",'STUDENT LIST'!F27)</f>
        <v/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ht="14.4">
      <c r="A29" s="1">
        <v>24</v>
      </c>
      <c r="B29" s="1" t="str">
        <f>IF('STUDENT LIST'!B28="","",'STUDENT LIST'!B28)</f>
        <v/>
      </c>
      <c r="C29" s="1" t="str">
        <f>IF('STUDENT LIST'!F28="","",'STUDENT LIST'!F28)</f>
        <v/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ht="14.4">
      <c r="A30" s="1">
        <v>25</v>
      </c>
      <c r="B30" s="1" t="str">
        <f>IF('STUDENT LIST'!B29="","",'STUDENT LIST'!B29)</f>
        <v/>
      </c>
      <c r="C30" s="1" t="str">
        <f>IF('STUDENT LIST'!F29="","",'STUDENT LIST'!F29)</f>
        <v/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ht="14.4">
      <c r="A31" s="1">
        <v>26</v>
      </c>
      <c r="B31" s="1" t="str">
        <f>IF('STUDENT LIST'!B30="","",'STUDENT LIST'!B30)</f>
        <v/>
      </c>
      <c r="C31" s="1" t="str">
        <f>IF('STUDENT LIST'!F30="","",'STUDENT LIST'!F30)</f>
        <v/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ht="14.4">
      <c r="A32" s="1">
        <v>27</v>
      </c>
      <c r="B32" s="1" t="str">
        <f>IF('STUDENT LIST'!B31="","",'STUDENT LIST'!B31)</f>
        <v/>
      </c>
      <c r="C32" s="1" t="str">
        <f>IF('STUDENT LIST'!F31="","",'STUDENT LIST'!F31)</f>
        <v/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ht="14.4">
      <c r="A33" s="1">
        <v>28</v>
      </c>
      <c r="B33" s="1" t="str">
        <f>IF('STUDENT LIST'!B32="","",'STUDENT LIST'!B32)</f>
        <v/>
      </c>
      <c r="C33" s="1" t="str">
        <f>IF('STUDENT LIST'!F32="","",'STUDENT LIST'!F32)</f>
        <v/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ht="14.4">
      <c r="A34" s="1">
        <v>29</v>
      </c>
      <c r="B34" s="1" t="str">
        <f>IF('STUDENT LIST'!B33="","",'STUDENT LIST'!B33)</f>
        <v/>
      </c>
      <c r="C34" s="1" t="str">
        <f>IF('STUDENT LIST'!F33="","",'STUDENT LIST'!F33)</f>
        <v/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ht="14.4">
      <c r="A35" s="1">
        <v>30</v>
      </c>
      <c r="B35" s="1" t="str">
        <f>IF('STUDENT LIST'!B34="","",'STUDENT LIST'!B34)</f>
        <v/>
      </c>
      <c r="C35" s="1" t="str">
        <f>IF('STUDENT LIST'!F34="","",'STUDENT LIST'!F34)</f>
        <v/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ht="14.4">
      <c r="A36" s="1">
        <v>31</v>
      </c>
      <c r="B36" s="1" t="str">
        <f>IF('STUDENT LIST'!B35="","",'STUDENT LIST'!B35)</f>
        <v/>
      </c>
      <c r="C36" s="1" t="str">
        <f>IF('STUDENT LIST'!F35="","",'STUDENT LIST'!F35)</f>
        <v/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ht="14.4">
      <c r="A37" s="1">
        <v>32</v>
      </c>
      <c r="B37" s="1" t="str">
        <f>IF('STUDENT LIST'!B36="","",'STUDENT LIST'!B36)</f>
        <v/>
      </c>
      <c r="C37" s="1" t="str">
        <f>IF('STUDENT LIST'!F36="","",'STUDENT LIST'!F36)</f>
        <v/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ht="14.4">
      <c r="A38" s="1">
        <v>33</v>
      </c>
      <c r="B38" s="1" t="str">
        <f>IF('STUDENT LIST'!B37="","",'STUDENT LIST'!B37)</f>
        <v/>
      </c>
      <c r="C38" s="1" t="str">
        <f>IF('STUDENT LIST'!F37="","",'STUDENT LIST'!F37)</f>
        <v/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ht="14.4">
      <c r="A39" s="1">
        <v>34</v>
      </c>
      <c r="B39" s="1" t="str">
        <f>IF('STUDENT LIST'!B38="","",'STUDENT LIST'!B38)</f>
        <v/>
      </c>
      <c r="C39" s="1" t="str">
        <f>IF('STUDENT LIST'!F38="","",'STUDENT LIST'!F38)</f>
        <v/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ht="14.4">
      <c r="A40" s="1">
        <v>35</v>
      </c>
      <c r="B40" s="1" t="str">
        <f>IF('STUDENT LIST'!B39="","",'STUDENT LIST'!B39)</f>
        <v/>
      </c>
      <c r="C40" s="1" t="str">
        <f>IF('STUDENT LIST'!F39="","",'STUDENT LIST'!F39)</f>
        <v/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ht="14.4">
      <c r="A41" s="1">
        <v>36</v>
      </c>
      <c r="B41" s="1" t="str">
        <f>IF('STUDENT LIST'!B40="","",'STUDENT LIST'!B40)</f>
        <v/>
      </c>
      <c r="C41" s="1" t="str">
        <f>IF('STUDENT LIST'!F40="","",'STUDENT LIST'!F40)</f>
        <v/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ht="14.4">
      <c r="A42" s="1">
        <v>37</v>
      </c>
      <c r="B42" s="1" t="str">
        <f>IF('STUDENT LIST'!B41="","",'STUDENT LIST'!B41)</f>
        <v/>
      </c>
      <c r="C42" s="1" t="str">
        <f>IF('STUDENT LIST'!F41="","",'STUDENT LIST'!F41)</f>
        <v/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ht="14.4">
      <c r="A43" s="1">
        <v>38</v>
      </c>
      <c r="B43" s="1" t="str">
        <f>IF('STUDENT LIST'!B42="","",'STUDENT LIST'!B42)</f>
        <v/>
      </c>
      <c r="C43" s="1" t="str">
        <f>IF('STUDENT LIST'!F42="","",'STUDENT LIST'!F42)</f>
        <v/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ht="14.4">
      <c r="A44" s="1">
        <v>39</v>
      </c>
      <c r="B44" s="1" t="str">
        <f>IF('STUDENT LIST'!B43="","",'STUDENT LIST'!B43)</f>
        <v/>
      </c>
      <c r="C44" s="1" t="str">
        <f>IF('STUDENT LIST'!F43="","",'STUDENT LIST'!F43)</f>
        <v/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 ht="14.4">
      <c r="A45" s="1">
        <v>40</v>
      </c>
      <c r="B45" s="1" t="str">
        <f>IF('STUDENT LIST'!B44="","",'STUDENT LIST'!B44)</f>
        <v/>
      </c>
      <c r="C45" s="1" t="str">
        <f>IF('STUDENT LIST'!F44="","",'STUDENT LIST'!F44)</f>
        <v/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ht="14.4">
      <c r="A46" s="1">
        <v>41</v>
      </c>
      <c r="B46" s="1" t="str">
        <f>IF('STUDENT LIST'!B45="","",'STUDENT LIST'!B45)</f>
        <v/>
      </c>
      <c r="C46" s="1" t="str">
        <f>IF('STUDENT LIST'!F45="","",'STUDENT LIST'!F45)</f>
        <v/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 ht="14.4">
      <c r="A47" s="1">
        <v>42</v>
      </c>
      <c r="B47" s="1" t="str">
        <f>IF('STUDENT LIST'!B46="","",'STUDENT LIST'!B46)</f>
        <v/>
      </c>
      <c r="C47" s="1" t="str">
        <f>IF('STUDENT LIST'!F46="","",'STUDENT LIST'!F46)</f>
        <v/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 ht="14.4">
      <c r="A48" s="1">
        <v>43</v>
      </c>
      <c r="B48" s="1" t="str">
        <f>IF('STUDENT LIST'!B47="","",'STUDENT LIST'!B47)</f>
        <v/>
      </c>
      <c r="C48" s="1" t="str">
        <f>IF('STUDENT LIST'!F47="","",'STUDENT LIST'!F47)</f>
        <v/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ht="14.4">
      <c r="A49" s="1">
        <v>44</v>
      </c>
      <c r="B49" s="1" t="str">
        <f>IF('STUDENT LIST'!B48="","",'STUDENT LIST'!B48)</f>
        <v/>
      </c>
      <c r="C49" s="1" t="str">
        <f>IF('STUDENT LIST'!F48="","",'STUDENT LIST'!F48)</f>
        <v/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ht="14.4">
      <c r="A50" s="1">
        <v>45</v>
      </c>
      <c r="B50" s="1" t="str">
        <f>IF('STUDENT LIST'!B49="","",'STUDENT LIST'!B49)</f>
        <v/>
      </c>
      <c r="C50" s="1" t="str">
        <f>IF('STUDENT LIST'!F49="","",'STUDENT LIST'!F49)</f>
        <v/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 ht="14.4">
      <c r="A51" s="1">
        <v>46</v>
      </c>
      <c r="B51" s="1" t="str">
        <f>IF('STUDENT LIST'!B50="","",'STUDENT LIST'!B50)</f>
        <v/>
      </c>
      <c r="C51" s="1" t="str">
        <f>IF('STUDENT LIST'!F50="","",'STUDENT LIST'!F50)</f>
        <v/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 ht="14.4">
      <c r="A52" s="1">
        <v>47</v>
      </c>
      <c r="B52" s="1" t="str">
        <f>IF('STUDENT LIST'!B51="","",'STUDENT LIST'!B51)</f>
        <v/>
      </c>
      <c r="C52" s="1" t="str">
        <f>IF('STUDENT LIST'!F51="","",'STUDENT LIST'!F51)</f>
        <v/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 ht="14.4">
      <c r="A53" s="1">
        <v>48</v>
      </c>
      <c r="B53" s="1" t="str">
        <f>IF('STUDENT LIST'!B52="","",'STUDENT LIST'!B52)</f>
        <v/>
      </c>
      <c r="C53" s="1" t="str">
        <f>IF('STUDENT LIST'!F52="","",'STUDENT LIST'!F52)</f>
        <v/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ht="14.4">
      <c r="A54" s="1">
        <v>49</v>
      </c>
      <c r="B54" s="1" t="str">
        <f>IF('STUDENT LIST'!B53="","",'STUDENT LIST'!B53)</f>
        <v/>
      </c>
      <c r="C54" s="1" t="str">
        <f>IF('STUDENT LIST'!F53="","",'STUDENT LIST'!F53)</f>
        <v/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 ht="14.4">
      <c r="A55" s="1">
        <v>50</v>
      </c>
      <c r="B55" s="1" t="str">
        <f>IF('STUDENT LIST'!B54="","",'STUDENT LIST'!B54)</f>
        <v/>
      </c>
      <c r="C55" s="1" t="str">
        <f>IF('STUDENT LIST'!F54="","",'STUDENT LIST'!F54)</f>
        <v/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</sheetData>
  <mergeCells count="2">
    <mergeCell ref="A1:Q2"/>
    <mergeCell ref="A3:Q3"/>
  </mergeCells>
  <conditionalFormatting sqref="D6:Q55">
    <cfRule type="expression" dxfId="3" priority="1">
      <formula>D6&gt;D$5</formula>
    </cfRule>
  </conditionalFormatting>
  <dataValidations count="1">
    <dataValidation type="decimal" sqref="D6:Q55" xr:uid="{00000000-0002-0000-0400-000000000000}">
      <formula1>0</formula1>
      <formula2>1000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5"/>
  <sheetViews>
    <sheetView workbookViewId="0"/>
  </sheetViews>
  <sheetFormatPr defaultRowHeight="13.8"/>
  <cols>
    <col min="1" max="1" width="7" customWidth="1"/>
    <col min="2" max="2" width="17" customWidth="1"/>
    <col min="3" max="3" width="28" customWidth="1"/>
    <col min="4" max="21" width="15" customWidth="1"/>
    <col min="22" max="22" width="30" customWidth="1"/>
  </cols>
  <sheetData>
    <row r="1" spans="1:22">
      <c r="A1" s="18" t="s">
        <v>129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ht="14.4">
      <c r="A3" s="21" t="s">
        <v>130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1:22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8.8">
      <c r="A5" s="3" t="s">
        <v>80</v>
      </c>
      <c r="B5" s="3" t="s">
        <v>81</v>
      </c>
      <c r="C5" s="3" t="s">
        <v>108</v>
      </c>
      <c r="D5" s="3" t="s">
        <v>112</v>
      </c>
      <c r="E5" s="3" t="s">
        <v>131</v>
      </c>
      <c r="F5" s="3" t="s">
        <v>132</v>
      </c>
      <c r="G5" s="3" t="s">
        <v>133</v>
      </c>
      <c r="H5" s="3" t="s">
        <v>134</v>
      </c>
      <c r="I5" s="3" t="s">
        <v>135</v>
      </c>
      <c r="J5" s="3" t="s">
        <v>136</v>
      </c>
      <c r="K5" s="3" t="s">
        <v>137</v>
      </c>
      <c r="L5" s="3" t="s">
        <v>138</v>
      </c>
      <c r="M5" s="3" t="s">
        <v>139</v>
      </c>
      <c r="N5" s="3" t="s">
        <v>140</v>
      </c>
      <c r="O5" s="3" t="s">
        <v>141</v>
      </c>
      <c r="P5" s="3" t="s">
        <v>142</v>
      </c>
      <c r="Q5" s="3" t="s">
        <v>68</v>
      </c>
      <c r="R5" s="3" t="s">
        <v>143</v>
      </c>
      <c r="S5" s="3" t="s">
        <v>144</v>
      </c>
      <c r="T5" s="3" t="s">
        <v>145</v>
      </c>
      <c r="U5" s="3" t="s">
        <v>146</v>
      </c>
      <c r="V5" s="3" t="s">
        <v>147</v>
      </c>
    </row>
    <row r="6" spans="1:22" ht="14.4">
      <c r="A6" s="1">
        <v>1</v>
      </c>
      <c r="B6" s="1" t="str">
        <f>IF('STUDENT LIST'!B5="","",'STUDENT LIST'!B5)</f>
        <v>2026-00001</v>
      </c>
      <c r="C6" s="1" t="str">
        <f>IF('STUDENT LIST'!F5="","",'STUDENT LIST'!F5)</f>
        <v>Santos, Andrea M.</v>
      </c>
      <c r="D6" s="12" t="str">
        <f>IF(B6="","",ATTENDANCE!AK6)</f>
        <v/>
      </c>
      <c r="E6" s="12" t="str">
        <f>IF(D6="","",D6*SETTINGS!$E$5/100)</f>
        <v/>
      </c>
      <c r="F6" s="12">
        <f>IF(B6="","",IF(SUM(SCORES!D$5:H$5)=0,"",SUM(SCORES!D6:H6)/SUM(SCORES!D$5:H$5)*100))</f>
        <v>0</v>
      </c>
      <c r="G6" s="12">
        <f>IF(F6="","",F6*SETTINGS!$E$6/100)</f>
        <v>0</v>
      </c>
      <c r="H6" s="12">
        <f>IF(B6="","",IF(SUM(SCORES!I$5:M$5)=0,"",SUM(SCORES!I6:M6)/SUM(SCORES!I$5:M$5)*100))</f>
        <v>0</v>
      </c>
      <c r="I6" s="12">
        <f>IF(H6="","",H6*SETTINGS!$E$7/100)</f>
        <v>0</v>
      </c>
      <c r="J6" s="12">
        <f>IF(B6="","",IF(SUM(SCORES!N$5:O$5)=0,"",SUM(SCORES!N6:O6)/SUM(SCORES!N$5:O$5)*100))</f>
        <v>0</v>
      </c>
      <c r="K6" s="12">
        <f>IF(J6="","",J6*SETTINGS!$E$8/100)</f>
        <v>0</v>
      </c>
      <c r="L6" s="12">
        <f>IF(B6="","",IF(SCORES!P$5=0,"",SCORES!P6/SCORES!P$5*100))</f>
        <v>0</v>
      </c>
      <c r="M6" s="12">
        <f>IF(L6="","",L6*SETTINGS!$E$9/100)</f>
        <v>0</v>
      </c>
      <c r="N6" s="12">
        <f>IF(B6="","",IF(SCORES!Q$5=0,"",SCORES!Q6/SCORES!Q$5*100))</f>
        <v>0</v>
      </c>
      <c r="O6" s="12">
        <f>IF(N6="","",N6*SETTINGS!$E$10/100)</f>
        <v>0</v>
      </c>
      <c r="P6" s="12">
        <f t="shared" ref="P6:P37" si="0">IF(B6="","",SUM(E6,G6,I6,K6,M6,O6))</f>
        <v>0</v>
      </c>
      <c r="Q6" s="12">
        <f t="shared" ref="Q6:Q37" si="1">IF(B6="","",IF(P6&gt;=97,1,IF(P6&gt;=94,1.25,IF(P6&gt;=91,1.5,IF(P6&gt;=88,1.75,IF(P6&gt;=85,2,IF(P6&gt;=82,2.25,IF(P6&gt;=79,2.5,IF(P6&gt;=76,2.75,IF(P6&gt;=75,3,IF(P6&gt;=65,4,5)))))))))))</f>
        <v>5</v>
      </c>
      <c r="R6" s="9" t="str">
        <f>IF(B6="","",IF(U6="YES","INCOMPLETE",IF(T6="Attendance Warning","FAILED - ATTENDANCE",IF(P6&gt;=SETTINGS!$B$11,"PASSED","FAILED"))))</f>
        <v>INCOMPLETE</v>
      </c>
      <c r="S6" s="15" t="str">
        <f t="shared" ref="S6:S37" si="2">IF(OR(B6="",U6="YES"),"",COUNTIF($P$6:$P$55,"&gt;"&amp;P6)+1)</f>
        <v/>
      </c>
      <c r="T6" s="9" t="str">
        <f>IF(B6="","",ATTENDANCE!AL6)</f>
        <v>Good Standing</v>
      </c>
      <c r="U6" s="9" t="str">
        <f>IF(B6="","",IF(COUNT(SCORES!D6:Q6)&lt;COUNT(SCORES!D$5:Q$5),"YES","NO"))</f>
        <v>YES</v>
      </c>
      <c r="V6" s="8"/>
    </row>
    <row r="7" spans="1:22" ht="14.4">
      <c r="A7" s="1">
        <v>2</v>
      </c>
      <c r="B7" s="1" t="str">
        <f>IF('STUDENT LIST'!B6="","",'STUDENT LIST'!B6)</f>
        <v>2026-00002</v>
      </c>
      <c r="C7" s="1" t="str">
        <f>IF('STUDENT LIST'!F6="","",'STUDENT LIST'!F6)</f>
        <v>Reyes, Brian C.</v>
      </c>
      <c r="D7" s="12" t="str">
        <f>IF(B7="","",ATTENDANCE!AK7)</f>
        <v/>
      </c>
      <c r="E7" s="12" t="str">
        <f>IF(D7="","",D7*SETTINGS!$E$5/100)</f>
        <v/>
      </c>
      <c r="F7" s="12">
        <f>IF(B7="","",IF(SUM(SCORES!D$5:H$5)=0,"",SUM(SCORES!D7:H7)/SUM(SCORES!D$5:H$5)*100))</f>
        <v>0</v>
      </c>
      <c r="G7" s="12">
        <f>IF(F7="","",F7*SETTINGS!$E$6/100)</f>
        <v>0</v>
      </c>
      <c r="H7" s="12">
        <f>IF(B7="","",IF(SUM(SCORES!I$5:M$5)=0,"",SUM(SCORES!I7:M7)/SUM(SCORES!I$5:M$5)*100))</f>
        <v>0</v>
      </c>
      <c r="I7" s="12">
        <f>IF(H7="","",H7*SETTINGS!$E$7/100)</f>
        <v>0</v>
      </c>
      <c r="J7" s="12">
        <f>IF(B7="","",IF(SUM(SCORES!N$5:O$5)=0,"",SUM(SCORES!N7:O7)/SUM(SCORES!N$5:O$5)*100))</f>
        <v>0</v>
      </c>
      <c r="K7" s="12">
        <f>IF(J7="","",J7*SETTINGS!$E$8/100)</f>
        <v>0</v>
      </c>
      <c r="L7" s="12">
        <f>IF(B7="","",IF(SCORES!P$5=0,"",SCORES!P7/SCORES!P$5*100))</f>
        <v>0</v>
      </c>
      <c r="M7" s="12">
        <f>IF(L7="","",L7*SETTINGS!$E$9/100)</f>
        <v>0</v>
      </c>
      <c r="N7" s="12">
        <f>IF(B7="","",IF(SCORES!Q$5=0,"",SCORES!Q7/SCORES!Q$5*100))</f>
        <v>0</v>
      </c>
      <c r="O7" s="12">
        <f>IF(N7="","",N7*SETTINGS!$E$10/100)</f>
        <v>0</v>
      </c>
      <c r="P7" s="12">
        <f t="shared" si="0"/>
        <v>0</v>
      </c>
      <c r="Q7" s="12">
        <f t="shared" si="1"/>
        <v>5</v>
      </c>
      <c r="R7" s="9" t="str">
        <f>IF(B7="","",IF(U7="YES","INCOMPLETE",IF(T7="Attendance Warning","FAILED - ATTENDANCE",IF(P7&gt;=SETTINGS!$B$11,"PASSED","FAILED"))))</f>
        <v>INCOMPLETE</v>
      </c>
      <c r="S7" s="15" t="str">
        <f t="shared" si="2"/>
        <v/>
      </c>
      <c r="T7" s="9" t="str">
        <f>IF(B7="","",ATTENDANCE!AL7)</f>
        <v>Good Standing</v>
      </c>
      <c r="U7" s="9" t="str">
        <f>IF(B7="","",IF(COUNT(SCORES!D7:Q7)&lt;COUNT(SCORES!D$5:Q$5),"YES","NO"))</f>
        <v>YES</v>
      </c>
      <c r="V7" s="8"/>
    </row>
    <row r="8" spans="1:22" ht="14.4">
      <c r="A8" s="1">
        <v>3</v>
      </c>
      <c r="B8" s="1" t="str">
        <f>IF('STUDENT LIST'!B7="","",'STUDENT LIST'!B7)</f>
        <v>2026-00003</v>
      </c>
      <c r="C8" s="1" t="str">
        <f>IF('STUDENT LIST'!F7="","",'STUDENT LIST'!F7)</f>
        <v>Cruz, Camille D.</v>
      </c>
      <c r="D8" s="12" t="str">
        <f>IF(B8="","",ATTENDANCE!AK8)</f>
        <v/>
      </c>
      <c r="E8" s="12" t="str">
        <f>IF(D8="","",D8*SETTINGS!$E$5/100)</f>
        <v/>
      </c>
      <c r="F8" s="12">
        <f>IF(B8="","",IF(SUM(SCORES!D$5:H$5)=0,"",SUM(SCORES!D8:H8)/SUM(SCORES!D$5:H$5)*100))</f>
        <v>0</v>
      </c>
      <c r="G8" s="12">
        <f>IF(F8="","",F8*SETTINGS!$E$6/100)</f>
        <v>0</v>
      </c>
      <c r="H8" s="12">
        <f>IF(B8="","",IF(SUM(SCORES!I$5:M$5)=0,"",SUM(SCORES!I8:M8)/SUM(SCORES!I$5:M$5)*100))</f>
        <v>0</v>
      </c>
      <c r="I8" s="12">
        <f>IF(H8="","",H8*SETTINGS!$E$7/100)</f>
        <v>0</v>
      </c>
      <c r="J8" s="12">
        <f>IF(B8="","",IF(SUM(SCORES!N$5:O$5)=0,"",SUM(SCORES!N8:O8)/SUM(SCORES!N$5:O$5)*100))</f>
        <v>0</v>
      </c>
      <c r="K8" s="12">
        <f>IF(J8="","",J8*SETTINGS!$E$8/100)</f>
        <v>0</v>
      </c>
      <c r="L8" s="12">
        <f>IF(B8="","",IF(SCORES!P$5=0,"",SCORES!P8/SCORES!P$5*100))</f>
        <v>0</v>
      </c>
      <c r="M8" s="12">
        <f>IF(L8="","",L8*SETTINGS!$E$9/100)</f>
        <v>0</v>
      </c>
      <c r="N8" s="12">
        <f>IF(B8="","",IF(SCORES!Q$5=0,"",SCORES!Q8/SCORES!Q$5*100))</f>
        <v>0</v>
      </c>
      <c r="O8" s="12">
        <f>IF(N8="","",N8*SETTINGS!$E$10/100)</f>
        <v>0</v>
      </c>
      <c r="P8" s="12">
        <f t="shared" si="0"/>
        <v>0</v>
      </c>
      <c r="Q8" s="12">
        <f t="shared" si="1"/>
        <v>5</v>
      </c>
      <c r="R8" s="9" t="str">
        <f>IF(B8="","",IF(U8="YES","INCOMPLETE",IF(T8="Attendance Warning","FAILED - ATTENDANCE",IF(P8&gt;=SETTINGS!$B$11,"PASSED","FAILED"))))</f>
        <v>INCOMPLETE</v>
      </c>
      <c r="S8" s="15" t="str">
        <f t="shared" si="2"/>
        <v/>
      </c>
      <c r="T8" s="9" t="str">
        <f>IF(B8="","",ATTENDANCE!AL8)</f>
        <v>Good Standing</v>
      </c>
      <c r="U8" s="9" t="str">
        <f>IF(B8="","",IF(COUNT(SCORES!D8:Q8)&lt;COUNT(SCORES!D$5:Q$5),"YES","NO"))</f>
        <v>YES</v>
      </c>
      <c r="V8" s="8"/>
    </row>
    <row r="9" spans="1:22" ht="14.4">
      <c r="A9" s="1">
        <v>4</v>
      </c>
      <c r="B9" s="1" t="str">
        <f>IF('STUDENT LIST'!B8="","",'STUDENT LIST'!B8)</f>
        <v>2026-00004</v>
      </c>
      <c r="C9" s="1" t="str">
        <f>IF('STUDENT LIST'!F8="","",'STUDENT LIST'!F8)</f>
        <v>Garcia, Daniel P.</v>
      </c>
      <c r="D9" s="12" t="str">
        <f>IF(B9="","",ATTENDANCE!AK9)</f>
        <v/>
      </c>
      <c r="E9" s="12" t="str">
        <f>IF(D9="","",D9*SETTINGS!$E$5/100)</f>
        <v/>
      </c>
      <c r="F9" s="12">
        <f>IF(B9="","",IF(SUM(SCORES!D$5:H$5)=0,"",SUM(SCORES!D9:H9)/SUM(SCORES!D$5:H$5)*100))</f>
        <v>0</v>
      </c>
      <c r="G9" s="12">
        <f>IF(F9="","",F9*SETTINGS!$E$6/100)</f>
        <v>0</v>
      </c>
      <c r="H9" s="12">
        <f>IF(B9="","",IF(SUM(SCORES!I$5:M$5)=0,"",SUM(SCORES!I9:M9)/SUM(SCORES!I$5:M$5)*100))</f>
        <v>0</v>
      </c>
      <c r="I9" s="12">
        <f>IF(H9="","",H9*SETTINGS!$E$7/100)</f>
        <v>0</v>
      </c>
      <c r="J9" s="12">
        <f>IF(B9="","",IF(SUM(SCORES!N$5:O$5)=0,"",SUM(SCORES!N9:O9)/SUM(SCORES!N$5:O$5)*100))</f>
        <v>0</v>
      </c>
      <c r="K9" s="12">
        <f>IF(J9="","",J9*SETTINGS!$E$8/100)</f>
        <v>0</v>
      </c>
      <c r="L9" s="12">
        <f>IF(B9="","",IF(SCORES!P$5=0,"",SCORES!P9/SCORES!P$5*100))</f>
        <v>0</v>
      </c>
      <c r="M9" s="12">
        <f>IF(L9="","",L9*SETTINGS!$E$9/100)</f>
        <v>0</v>
      </c>
      <c r="N9" s="12">
        <f>IF(B9="","",IF(SCORES!Q$5=0,"",SCORES!Q9/SCORES!Q$5*100))</f>
        <v>0</v>
      </c>
      <c r="O9" s="12">
        <f>IF(N9="","",N9*SETTINGS!$E$10/100)</f>
        <v>0</v>
      </c>
      <c r="P9" s="12">
        <f t="shared" si="0"/>
        <v>0</v>
      </c>
      <c r="Q9" s="12">
        <f t="shared" si="1"/>
        <v>5</v>
      </c>
      <c r="R9" s="9" t="str">
        <f>IF(B9="","",IF(U9="YES","INCOMPLETE",IF(T9="Attendance Warning","FAILED - ATTENDANCE",IF(P9&gt;=SETTINGS!$B$11,"PASSED","FAILED"))))</f>
        <v>INCOMPLETE</v>
      </c>
      <c r="S9" s="15" t="str">
        <f t="shared" si="2"/>
        <v/>
      </c>
      <c r="T9" s="9" t="str">
        <f>IF(B9="","",ATTENDANCE!AL9)</f>
        <v>Good Standing</v>
      </c>
      <c r="U9" s="9" t="str">
        <f>IF(B9="","",IF(COUNT(SCORES!D9:Q9)&lt;COUNT(SCORES!D$5:Q$5),"YES","NO"))</f>
        <v>YES</v>
      </c>
      <c r="V9" s="8"/>
    </row>
    <row r="10" spans="1:22" ht="14.4">
      <c r="A10" s="1">
        <v>5</v>
      </c>
      <c r="B10" s="1" t="str">
        <f>IF('STUDENT LIST'!B9="","",'STUDENT LIST'!B9)</f>
        <v>2026-00005</v>
      </c>
      <c r="C10" s="1" t="str">
        <f>IF('STUDENT LIST'!F9="","",'STUDENT LIST'!F9)</f>
        <v>Mendoza, Ella R.</v>
      </c>
      <c r="D10" s="12" t="str">
        <f>IF(B10="","",ATTENDANCE!AK10)</f>
        <v/>
      </c>
      <c r="E10" s="12" t="str">
        <f>IF(D10="","",D10*SETTINGS!$E$5/100)</f>
        <v/>
      </c>
      <c r="F10" s="12">
        <f>IF(B10="","",IF(SUM(SCORES!D$5:H$5)=0,"",SUM(SCORES!D10:H10)/SUM(SCORES!D$5:H$5)*100))</f>
        <v>0</v>
      </c>
      <c r="G10" s="12">
        <f>IF(F10="","",F10*SETTINGS!$E$6/100)</f>
        <v>0</v>
      </c>
      <c r="H10" s="12">
        <f>IF(B10="","",IF(SUM(SCORES!I$5:M$5)=0,"",SUM(SCORES!I10:M10)/SUM(SCORES!I$5:M$5)*100))</f>
        <v>0</v>
      </c>
      <c r="I10" s="12">
        <f>IF(H10="","",H10*SETTINGS!$E$7/100)</f>
        <v>0</v>
      </c>
      <c r="J10" s="12">
        <f>IF(B10="","",IF(SUM(SCORES!N$5:O$5)=0,"",SUM(SCORES!N10:O10)/SUM(SCORES!N$5:O$5)*100))</f>
        <v>0</v>
      </c>
      <c r="K10" s="12">
        <f>IF(J10="","",J10*SETTINGS!$E$8/100)</f>
        <v>0</v>
      </c>
      <c r="L10" s="12">
        <f>IF(B10="","",IF(SCORES!P$5=0,"",SCORES!P10/SCORES!P$5*100))</f>
        <v>0</v>
      </c>
      <c r="M10" s="12">
        <f>IF(L10="","",L10*SETTINGS!$E$9/100)</f>
        <v>0</v>
      </c>
      <c r="N10" s="12">
        <f>IF(B10="","",IF(SCORES!Q$5=0,"",SCORES!Q10/SCORES!Q$5*100))</f>
        <v>0</v>
      </c>
      <c r="O10" s="12">
        <f>IF(N10="","",N10*SETTINGS!$E$10/100)</f>
        <v>0</v>
      </c>
      <c r="P10" s="12">
        <f t="shared" si="0"/>
        <v>0</v>
      </c>
      <c r="Q10" s="12">
        <f t="shared" si="1"/>
        <v>5</v>
      </c>
      <c r="R10" s="9" t="str">
        <f>IF(B10="","",IF(U10="YES","INCOMPLETE",IF(T10="Attendance Warning","FAILED - ATTENDANCE",IF(P10&gt;=SETTINGS!$B$11,"PASSED","FAILED"))))</f>
        <v>INCOMPLETE</v>
      </c>
      <c r="S10" s="15" t="str">
        <f t="shared" si="2"/>
        <v/>
      </c>
      <c r="T10" s="9" t="str">
        <f>IF(B10="","",ATTENDANCE!AL10)</f>
        <v>Good Standing</v>
      </c>
      <c r="U10" s="9" t="str">
        <f>IF(B10="","",IF(COUNT(SCORES!D10:Q10)&lt;COUNT(SCORES!D$5:Q$5),"YES","NO"))</f>
        <v>YES</v>
      </c>
      <c r="V10" s="8"/>
    </row>
    <row r="11" spans="1:22" ht="14.4">
      <c r="A11" s="1">
        <v>6</v>
      </c>
      <c r="B11" s="1" t="str">
        <f>IF('STUDENT LIST'!B10="","",'STUDENT LIST'!B10)</f>
        <v/>
      </c>
      <c r="C11" s="1" t="str">
        <f>IF('STUDENT LIST'!F10="","",'STUDENT LIST'!F10)</f>
        <v/>
      </c>
      <c r="D11" s="12" t="str">
        <f>IF(B11="","",ATTENDANCE!AK11)</f>
        <v/>
      </c>
      <c r="E11" s="12" t="str">
        <f>IF(D11="","",D11*SETTINGS!$E$5/100)</f>
        <v/>
      </c>
      <c r="F11" s="12" t="str">
        <f>IF(B11="","",IF(SUM(SCORES!D$5:H$5)=0,"",SUM(SCORES!D11:H11)/SUM(SCORES!D$5:H$5)*100))</f>
        <v/>
      </c>
      <c r="G11" s="12" t="str">
        <f>IF(F11="","",F11*SETTINGS!$E$6/100)</f>
        <v/>
      </c>
      <c r="H11" s="12" t="str">
        <f>IF(B11="","",IF(SUM(SCORES!I$5:M$5)=0,"",SUM(SCORES!I11:M11)/SUM(SCORES!I$5:M$5)*100))</f>
        <v/>
      </c>
      <c r="I11" s="12" t="str">
        <f>IF(H11="","",H11*SETTINGS!$E$7/100)</f>
        <v/>
      </c>
      <c r="J11" s="12" t="str">
        <f>IF(B11="","",IF(SUM(SCORES!N$5:O$5)=0,"",SUM(SCORES!N11:O11)/SUM(SCORES!N$5:O$5)*100))</f>
        <v/>
      </c>
      <c r="K11" s="12" t="str">
        <f>IF(J11="","",J11*SETTINGS!$E$8/100)</f>
        <v/>
      </c>
      <c r="L11" s="12" t="str">
        <f>IF(B11="","",IF(SCORES!P$5=0,"",SCORES!P11/SCORES!P$5*100))</f>
        <v/>
      </c>
      <c r="M11" s="12" t="str">
        <f>IF(L11="","",L11*SETTINGS!$E$9/100)</f>
        <v/>
      </c>
      <c r="N11" s="12" t="str">
        <f>IF(B11="","",IF(SCORES!Q$5=0,"",SCORES!Q11/SCORES!Q$5*100))</f>
        <v/>
      </c>
      <c r="O11" s="12" t="str">
        <f>IF(N11="","",N11*SETTINGS!$E$10/100)</f>
        <v/>
      </c>
      <c r="P11" s="12" t="str">
        <f t="shared" si="0"/>
        <v/>
      </c>
      <c r="Q11" s="12" t="str">
        <f t="shared" si="1"/>
        <v/>
      </c>
      <c r="R11" s="9" t="str">
        <f>IF(B11="","",IF(U11="YES","INCOMPLETE",IF(T11="Attendance Warning","FAILED - ATTENDANCE",IF(P11&gt;=SETTINGS!$B$11,"PASSED","FAILED"))))</f>
        <v/>
      </c>
      <c r="S11" s="15" t="str">
        <f t="shared" si="2"/>
        <v/>
      </c>
      <c r="T11" s="9" t="str">
        <f>IF(B11="","",ATTENDANCE!AL11)</f>
        <v/>
      </c>
      <c r="U11" s="9" t="str">
        <f>IF(B11="","",IF(COUNT(SCORES!D11:Q11)&lt;COUNT(SCORES!D$5:Q$5),"YES","NO"))</f>
        <v/>
      </c>
      <c r="V11" s="8"/>
    </row>
    <row r="12" spans="1:22" ht="14.4">
      <c r="A12" s="1">
        <v>7</v>
      </c>
      <c r="B12" s="1" t="str">
        <f>IF('STUDENT LIST'!B11="","",'STUDENT LIST'!B11)</f>
        <v/>
      </c>
      <c r="C12" s="1" t="str">
        <f>IF('STUDENT LIST'!F11="","",'STUDENT LIST'!F11)</f>
        <v/>
      </c>
      <c r="D12" s="12" t="str">
        <f>IF(B12="","",ATTENDANCE!AK12)</f>
        <v/>
      </c>
      <c r="E12" s="12" t="str">
        <f>IF(D12="","",D12*SETTINGS!$E$5/100)</f>
        <v/>
      </c>
      <c r="F12" s="12" t="str">
        <f>IF(B12="","",IF(SUM(SCORES!D$5:H$5)=0,"",SUM(SCORES!D12:H12)/SUM(SCORES!D$5:H$5)*100))</f>
        <v/>
      </c>
      <c r="G12" s="12" t="str">
        <f>IF(F12="","",F12*SETTINGS!$E$6/100)</f>
        <v/>
      </c>
      <c r="H12" s="12" t="str">
        <f>IF(B12="","",IF(SUM(SCORES!I$5:M$5)=0,"",SUM(SCORES!I12:M12)/SUM(SCORES!I$5:M$5)*100))</f>
        <v/>
      </c>
      <c r="I12" s="12" t="str">
        <f>IF(H12="","",H12*SETTINGS!$E$7/100)</f>
        <v/>
      </c>
      <c r="J12" s="12" t="str">
        <f>IF(B12="","",IF(SUM(SCORES!N$5:O$5)=0,"",SUM(SCORES!N12:O12)/SUM(SCORES!N$5:O$5)*100))</f>
        <v/>
      </c>
      <c r="K12" s="12" t="str">
        <f>IF(J12="","",J12*SETTINGS!$E$8/100)</f>
        <v/>
      </c>
      <c r="L12" s="12" t="str">
        <f>IF(B12="","",IF(SCORES!P$5=0,"",SCORES!P12/SCORES!P$5*100))</f>
        <v/>
      </c>
      <c r="M12" s="12" t="str">
        <f>IF(L12="","",L12*SETTINGS!$E$9/100)</f>
        <v/>
      </c>
      <c r="N12" s="12" t="str">
        <f>IF(B12="","",IF(SCORES!Q$5=0,"",SCORES!Q12/SCORES!Q$5*100))</f>
        <v/>
      </c>
      <c r="O12" s="12" t="str">
        <f>IF(N12="","",N12*SETTINGS!$E$10/100)</f>
        <v/>
      </c>
      <c r="P12" s="12" t="str">
        <f t="shared" si="0"/>
        <v/>
      </c>
      <c r="Q12" s="12" t="str">
        <f t="shared" si="1"/>
        <v/>
      </c>
      <c r="R12" s="9" t="str">
        <f>IF(B12="","",IF(U12="YES","INCOMPLETE",IF(T12="Attendance Warning","FAILED - ATTENDANCE",IF(P12&gt;=SETTINGS!$B$11,"PASSED","FAILED"))))</f>
        <v/>
      </c>
      <c r="S12" s="15" t="str">
        <f t="shared" si="2"/>
        <v/>
      </c>
      <c r="T12" s="9" t="str">
        <f>IF(B12="","",ATTENDANCE!AL12)</f>
        <v/>
      </c>
      <c r="U12" s="9" t="str">
        <f>IF(B12="","",IF(COUNT(SCORES!D12:Q12)&lt;COUNT(SCORES!D$5:Q$5),"YES","NO"))</f>
        <v/>
      </c>
      <c r="V12" s="8"/>
    </row>
    <row r="13" spans="1:22" ht="14.4">
      <c r="A13" s="1">
        <v>8</v>
      </c>
      <c r="B13" s="1" t="str">
        <f>IF('STUDENT LIST'!B12="","",'STUDENT LIST'!B12)</f>
        <v/>
      </c>
      <c r="C13" s="1" t="str">
        <f>IF('STUDENT LIST'!F12="","",'STUDENT LIST'!F12)</f>
        <v/>
      </c>
      <c r="D13" s="12" t="str">
        <f>IF(B13="","",ATTENDANCE!AK13)</f>
        <v/>
      </c>
      <c r="E13" s="12" t="str">
        <f>IF(D13="","",D13*SETTINGS!$E$5/100)</f>
        <v/>
      </c>
      <c r="F13" s="12" t="str">
        <f>IF(B13="","",IF(SUM(SCORES!D$5:H$5)=0,"",SUM(SCORES!D13:H13)/SUM(SCORES!D$5:H$5)*100))</f>
        <v/>
      </c>
      <c r="G13" s="12" t="str">
        <f>IF(F13="","",F13*SETTINGS!$E$6/100)</f>
        <v/>
      </c>
      <c r="H13" s="12" t="str">
        <f>IF(B13="","",IF(SUM(SCORES!I$5:M$5)=0,"",SUM(SCORES!I13:M13)/SUM(SCORES!I$5:M$5)*100))</f>
        <v/>
      </c>
      <c r="I13" s="12" t="str">
        <f>IF(H13="","",H13*SETTINGS!$E$7/100)</f>
        <v/>
      </c>
      <c r="J13" s="12" t="str">
        <f>IF(B13="","",IF(SUM(SCORES!N$5:O$5)=0,"",SUM(SCORES!N13:O13)/SUM(SCORES!N$5:O$5)*100))</f>
        <v/>
      </c>
      <c r="K13" s="12" t="str">
        <f>IF(J13="","",J13*SETTINGS!$E$8/100)</f>
        <v/>
      </c>
      <c r="L13" s="12" t="str">
        <f>IF(B13="","",IF(SCORES!P$5=0,"",SCORES!P13/SCORES!P$5*100))</f>
        <v/>
      </c>
      <c r="M13" s="12" t="str">
        <f>IF(L13="","",L13*SETTINGS!$E$9/100)</f>
        <v/>
      </c>
      <c r="N13" s="12" t="str">
        <f>IF(B13="","",IF(SCORES!Q$5=0,"",SCORES!Q13/SCORES!Q$5*100))</f>
        <v/>
      </c>
      <c r="O13" s="12" t="str">
        <f>IF(N13="","",N13*SETTINGS!$E$10/100)</f>
        <v/>
      </c>
      <c r="P13" s="12" t="str">
        <f t="shared" si="0"/>
        <v/>
      </c>
      <c r="Q13" s="12" t="str">
        <f t="shared" si="1"/>
        <v/>
      </c>
      <c r="R13" s="9" t="str">
        <f>IF(B13="","",IF(U13="YES","INCOMPLETE",IF(T13="Attendance Warning","FAILED - ATTENDANCE",IF(P13&gt;=SETTINGS!$B$11,"PASSED","FAILED"))))</f>
        <v/>
      </c>
      <c r="S13" s="15" t="str">
        <f t="shared" si="2"/>
        <v/>
      </c>
      <c r="T13" s="9" t="str">
        <f>IF(B13="","",ATTENDANCE!AL13)</f>
        <v/>
      </c>
      <c r="U13" s="9" t="str">
        <f>IF(B13="","",IF(COUNT(SCORES!D13:Q13)&lt;COUNT(SCORES!D$5:Q$5),"YES","NO"))</f>
        <v/>
      </c>
      <c r="V13" s="8"/>
    </row>
    <row r="14" spans="1:22" ht="14.4">
      <c r="A14" s="1">
        <v>9</v>
      </c>
      <c r="B14" s="1" t="str">
        <f>IF('STUDENT LIST'!B13="","",'STUDENT LIST'!B13)</f>
        <v/>
      </c>
      <c r="C14" s="1" t="str">
        <f>IF('STUDENT LIST'!F13="","",'STUDENT LIST'!F13)</f>
        <v/>
      </c>
      <c r="D14" s="12" t="str">
        <f>IF(B14="","",ATTENDANCE!AK14)</f>
        <v/>
      </c>
      <c r="E14" s="12" t="str">
        <f>IF(D14="","",D14*SETTINGS!$E$5/100)</f>
        <v/>
      </c>
      <c r="F14" s="12" t="str">
        <f>IF(B14="","",IF(SUM(SCORES!D$5:H$5)=0,"",SUM(SCORES!D14:H14)/SUM(SCORES!D$5:H$5)*100))</f>
        <v/>
      </c>
      <c r="G14" s="12" t="str">
        <f>IF(F14="","",F14*SETTINGS!$E$6/100)</f>
        <v/>
      </c>
      <c r="H14" s="12" t="str">
        <f>IF(B14="","",IF(SUM(SCORES!I$5:M$5)=0,"",SUM(SCORES!I14:M14)/SUM(SCORES!I$5:M$5)*100))</f>
        <v/>
      </c>
      <c r="I14" s="12" t="str">
        <f>IF(H14="","",H14*SETTINGS!$E$7/100)</f>
        <v/>
      </c>
      <c r="J14" s="12" t="str">
        <f>IF(B14="","",IF(SUM(SCORES!N$5:O$5)=0,"",SUM(SCORES!N14:O14)/SUM(SCORES!N$5:O$5)*100))</f>
        <v/>
      </c>
      <c r="K14" s="12" t="str">
        <f>IF(J14="","",J14*SETTINGS!$E$8/100)</f>
        <v/>
      </c>
      <c r="L14" s="12" t="str">
        <f>IF(B14="","",IF(SCORES!P$5=0,"",SCORES!P14/SCORES!P$5*100))</f>
        <v/>
      </c>
      <c r="M14" s="12" t="str">
        <f>IF(L14="","",L14*SETTINGS!$E$9/100)</f>
        <v/>
      </c>
      <c r="N14" s="12" t="str">
        <f>IF(B14="","",IF(SCORES!Q$5=0,"",SCORES!Q14/SCORES!Q$5*100))</f>
        <v/>
      </c>
      <c r="O14" s="12" t="str">
        <f>IF(N14="","",N14*SETTINGS!$E$10/100)</f>
        <v/>
      </c>
      <c r="P14" s="12" t="str">
        <f t="shared" si="0"/>
        <v/>
      </c>
      <c r="Q14" s="12" t="str">
        <f t="shared" si="1"/>
        <v/>
      </c>
      <c r="R14" s="9" t="str">
        <f>IF(B14="","",IF(U14="YES","INCOMPLETE",IF(T14="Attendance Warning","FAILED - ATTENDANCE",IF(P14&gt;=SETTINGS!$B$11,"PASSED","FAILED"))))</f>
        <v/>
      </c>
      <c r="S14" s="15" t="str">
        <f t="shared" si="2"/>
        <v/>
      </c>
      <c r="T14" s="9" t="str">
        <f>IF(B14="","",ATTENDANCE!AL14)</f>
        <v/>
      </c>
      <c r="U14" s="9" t="str">
        <f>IF(B14="","",IF(COUNT(SCORES!D14:Q14)&lt;COUNT(SCORES!D$5:Q$5),"YES","NO"))</f>
        <v/>
      </c>
      <c r="V14" s="8"/>
    </row>
    <row r="15" spans="1:22" ht="14.4">
      <c r="A15" s="1">
        <v>10</v>
      </c>
      <c r="B15" s="1" t="str">
        <f>IF('STUDENT LIST'!B14="","",'STUDENT LIST'!B14)</f>
        <v/>
      </c>
      <c r="C15" s="1" t="str">
        <f>IF('STUDENT LIST'!F14="","",'STUDENT LIST'!F14)</f>
        <v/>
      </c>
      <c r="D15" s="12" t="str">
        <f>IF(B15="","",ATTENDANCE!AK15)</f>
        <v/>
      </c>
      <c r="E15" s="12" t="str">
        <f>IF(D15="","",D15*SETTINGS!$E$5/100)</f>
        <v/>
      </c>
      <c r="F15" s="12" t="str">
        <f>IF(B15="","",IF(SUM(SCORES!D$5:H$5)=0,"",SUM(SCORES!D15:H15)/SUM(SCORES!D$5:H$5)*100))</f>
        <v/>
      </c>
      <c r="G15" s="12" t="str">
        <f>IF(F15="","",F15*SETTINGS!$E$6/100)</f>
        <v/>
      </c>
      <c r="H15" s="12" t="str">
        <f>IF(B15="","",IF(SUM(SCORES!I$5:M$5)=0,"",SUM(SCORES!I15:M15)/SUM(SCORES!I$5:M$5)*100))</f>
        <v/>
      </c>
      <c r="I15" s="12" t="str">
        <f>IF(H15="","",H15*SETTINGS!$E$7/100)</f>
        <v/>
      </c>
      <c r="J15" s="12" t="str">
        <f>IF(B15="","",IF(SUM(SCORES!N$5:O$5)=0,"",SUM(SCORES!N15:O15)/SUM(SCORES!N$5:O$5)*100))</f>
        <v/>
      </c>
      <c r="K15" s="12" t="str">
        <f>IF(J15="","",J15*SETTINGS!$E$8/100)</f>
        <v/>
      </c>
      <c r="L15" s="12" t="str">
        <f>IF(B15="","",IF(SCORES!P$5=0,"",SCORES!P15/SCORES!P$5*100))</f>
        <v/>
      </c>
      <c r="M15" s="12" t="str">
        <f>IF(L15="","",L15*SETTINGS!$E$9/100)</f>
        <v/>
      </c>
      <c r="N15" s="12" t="str">
        <f>IF(B15="","",IF(SCORES!Q$5=0,"",SCORES!Q15/SCORES!Q$5*100))</f>
        <v/>
      </c>
      <c r="O15" s="12" t="str">
        <f>IF(N15="","",N15*SETTINGS!$E$10/100)</f>
        <v/>
      </c>
      <c r="P15" s="12" t="str">
        <f t="shared" si="0"/>
        <v/>
      </c>
      <c r="Q15" s="12" t="str">
        <f t="shared" si="1"/>
        <v/>
      </c>
      <c r="R15" s="9" t="str">
        <f>IF(B15="","",IF(U15="YES","INCOMPLETE",IF(T15="Attendance Warning","FAILED - ATTENDANCE",IF(P15&gt;=SETTINGS!$B$11,"PASSED","FAILED"))))</f>
        <v/>
      </c>
      <c r="S15" s="15" t="str">
        <f t="shared" si="2"/>
        <v/>
      </c>
      <c r="T15" s="9" t="str">
        <f>IF(B15="","",ATTENDANCE!AL15)</f>
        <v/>
      </c>
      <c r="U15" s="9" t="str">
        <f>IF(B15="","",IF(COUNT(SCORES!D15:Q15)&lt;COUNT(SCORES!D$5:Q$5),"YES","NO"))</f>
        <v/>
      </c>
      <c r="V15" s="8"/>
    </row>
    <row r="16" spans="1:22" ht="14.4">
      <c r="A16" s="1">
        <v>11</v>
      </c>
      <c r="B16" s="1" t="str">
        <f>IF('STUDENT LIST'!B15="","",'STUDENT LIST'!B15)</f>
        <v/>
      </c>
      <c r="C16" s="1" t="str">
        <f>IF('STUDENT LIST'!F15="","",'STUDENT LIST'!F15)</f>
        <v/>
      </c>
      <c r="D16" s="12" t="str">
        <f>IF(B16="","",ATTENDANCE!AK16)</f>
        <v/>
      </c>
      <c r="E16" s="12" t="str">
        <f>IF(D16="","",D16*SETTINGS!$E$5/100)</f>
        <v/>
      </c>
      <c r="F16" s="12" t="str">
        <f>IF(B16="","",IF(SUM(SCORES!D$5:H$5)=0,"",SUM(SCORES!D16:H16)/SUM(SCORES!D$5:H$5)*100))</f>
        <v/>
      </c>
      <c r="G16" s="12" t="str">
        <f>IF(F16="","",F16*SETTINGS!$E$6/100)</f>
        <v/>
      </c>
      <c r="H16" s="12" t="str">
        <f>IF(B16="","",IF(SUM(SCORES!I$5:M$5)=0,"",SUM(SCORES!I16:M16)/SUM(SCORES!I$5:M$5)*100))</f>
        <v/>
      </c>
      <c r="I16" s="12" t="str">
        <f>IF(H16="","",H16*SETTINGS!$E$7/100)</f>
        <v/>
      </c>
      <c r="J16" s="12" t="str">
        <f>IF(B16="","",IF(SUM(SCORES!N$5:O$5)=0,"",SUM(SCORES!N16:O16)/SUM(SCORES!N$5:O$5)*100))</f>
        <v/>
      </c>
      <c r="K16" s="12" t="str">
        <f>IF(J16="","",J16*SETTINGS!$E$8/100)</f>
        <v/>
      </c>
      <c r="L16" s="12" t="str">
        <f>IF(B16="","",IF(SCORES!P$5=0,"",SCORES!P16/SCORES!P$5*100))</f>
        <v/>
      </c>
      <c r="M16" s="12" t="str">
        <f>IF(L16="","",L16*SETTINGS!$E$9/100)</f>
        <v/>
      </c>
      <c r="N16" s="12" t="str">
        <f>IF(B16="","",IF(SCORES!Q$5=0,"",SCORES!Q16/SCORES!Q$5*100))</f>
        <v/>
      </c>
      <c r="O16" s="12" t="str">
        <f>IF(N16="","",N16*SETTINGS!$E$10/100)</f>
        <v/>
      </c>
      <c r="P16" s="12" t="str">
        <f t="shared" si="0"/>
        <v/>
      </c>
      <c r="Q16" s="12" t="str">
        <f t="shared" si="1"/>
        <v/>
      </c>
      <c r="R16" s="9" t="str">
        <f>IF(B16="","",IF(U16="YES","INCOMPLETE",IF(T16="Attendance Warning","FAILED - ATTENDANCE",IF(P16&gt;=SETTINGS!$B$11,"PASSED","FAILED"))))</f>
        <v/>
      </c>
      <c r="S16" s="15" t="str">
        <f t="shared" si="2"/>
        <v/>
      </c>
      <c r="T16" s="9" t="str">
        <f>IF(B16="","",ATTENDANCE!AL16)</f>
        <v/>
      </c>
      <c r="U16" s="9" t="str">
        <f>IF(B16="","",IF(COUNT(SCORES!D16:Q16)&lt;COUNT(SCORES!D$5:Q$5),"YES","NO"))</f>
        <v/>
      </c>
      <c r="V16" s="8"/>
    </row>
    <row r="17" spans="1:22" ht="14.4">
      <c r="A17" s="1">
        <v>12</v>
      </c>
      <c r="B17" s="1" t="str">
        <f>IF('STUDENT LIST'!B16="","",'STUDENT LIST'!B16)</f>
        <v/>
      </c>
      <c r="C17" s="1" t="str">
        <f>IF('STUDENT LIST'!F16="","",'STUDENT LIST'!F16)</f>
        <v/>
      </c>
      <c r="D17" s="12" t="str">
        <f>IF(B17="","",ATTENDANCE!AK17)</f>
        <v/>
      </c>
      <c r="E17" s="12" t="str">
        <f>IF(D17="","",D17*SETTINGS!$E$5/100)</f>
        <v/>
      </c>
      <c r="F17" s="12" t="str">
        <f>IF(B17="","",IF(SUM(SCORES!D$5:H$5)=0,"",SUM(SCORES!D17:H17)/SUM(SCORES!D$5:H$5)*100))</f>
        <v/>
      </c>
      <c r="G17" s="12" t="str">
        <f>IF(F17="","",F17*SETTINGS!$E$6/100)</f>
        <v/>
      </c>
      <c r="H17" s="12" t="str">
        <f>IF(B17="","",IF(SUM(SCORES!I$5:M$5)=0,"",SUM(SCORES!I17:M17)/SUM(SCORES!I$5:M$5)*100))</f>
        <v/>
      </c>
      <c r="I17" s="12" t="str">
        <f>IF(H17="","",H17*SETTINGS!$E$7/100)</f>
        <v/>
      </c>
      <c r="J17" s="12" t="str">
        <f>IF(B17="","",IF(SUM(SCORES!N$5:O$5)=0,"",SUM(SCORES!N17:O17)/SUM(SCORES!N$5:O$5)*100))</f>
        <v/>
      </c>
      <c r="K17" s="12" t="str">
        <f>IF(J17="","",J17*SETTINGS!$E$8/100)</f>
        <v/>
      </c>
      <c r="L17" s="12" t="str">
        <f>IF(B17="","",IF(SCORES!P$5=0,"",SCORES!P17/SCORES!P$5*100))</f>
        <v/>
      </c>
      <c r="M17" s="12" t="str">
        <f>IF(L17="","",L17*SETTINGS!$E$9/100)</f>
        <v/>
      </c>
      <c r="N17" s="12" t="str">
        <f>IF(B17="","",IF(SCORES!Q$5=0,"",SCORES!Q17/SCORES!Q$5*100))</f>
        <v/>
      </c>
      <c r="O17" s="12" t="str">
        <f>IF(N17="","",N17*SETTINGS!$E$10/100)</f>
        <v/>
      </c>
      <c r="P17" s="12" t="str">
        <f t="shared" si="0"/>
        <v/>
      </c>
      <c r="Q17" s="12" t="str">
        <f t="shared" si="1"/>
        <v/>
      </c>
      <c r="R17" s="9" t="str">
        <f>IF(B17="","",IF(U17="YES","INCOMPLETE",IF(T17="Attendance Warning","FAILED - ATTENDANCE",IF(P17&gt;=SETTINGS!$B$11,"PASSED","FAILED"))))</f>
        <v/>
      </c>
      <c r="S17" s="15" t="str">
        <f t="shared" si="2"/>
        <v/>
      </c>
      <c r="T17" s="9" t="str">
        <f>IF(B17="","",ATTENDANCE!AL17)</f>
        <v/>
      </c>
      <c r="U17" s="9" t="str">
        <f>IF(B17="","",IF(COUNT(SCORES!D17:Q17)&lt;COUNT(SCORES!D$5:Q$5),"YES","NO"))</f>
        <v/>
      </c>
      <c r="V17" s="8"/>
    </row>
    <row r="18" spans="1:22" ht="14.4">
      <c r="A18" s="1">
        <v>13</v>
      </c>
      <c r="B18" s="1" t="str">
        <f>IF('STUDENT LIST'!B17="","",'STUDENT LIST'!B17)</f>
        <v/>
      </c>
      <c r="C18" s="1" t="str">
        <f>IF('STUDENT LIST'!F17="","",'STUDENT LIST'!F17)</f>
        <v/>
      </c>
      <c r="D18" s="12" t="str">
        <f>IF(B18="","",ATTENDANCE!AK18)</f>
        <v/>
      </c>
      <c r="E18" s="12" t="str">
        <f>IF(D18="","",D18*SETTINGS!$E$5/100)</f>
        <v/>
      </c>
      <c r="F18" s="12" t="str">
        <f>IF(B18="","",IF(SUM(SCORES!D$5:H$5)=0,"",SUM(SCORES!D18:H18)/SUM(SCORES!D$5:H$5)*100))</f>
        <v/>
      </c>
      <c r="G18" s="12" t="str">
        <f>IF(F18="","",F18*SETTINGS!$E$6/100)</f>
        <v/>
      </c>
      <c r="H18" s="12" t="str">
        <f>IF(B18="","",IF(SUM(SCORES!I$5:M$5)=0,"",SUM(SCORES!I18:M18)/SUM(SCORES!I$5:M$5)*100))</f>
        <v/>
      </c>
      <c r="I18" s="12" t="str">
        <f>IF(H18="","",H18*SETTINGS!$E$7/100)</f>
        <v/>
      </c>
      <c r="J18" s="12" t="str">
        <f>IF(B18="","",IF(SUM(SCORES!N$5:O$5)=0,"",SUM(SCORES!N18:O18)/SUM(SCORES!N$5:O$5)*100))</f>
        <v/>
      </c>
      <c r="K18" s="12" t="str">
        <f>IF(J18="","",J18*SETTINGS!$E$8/100)</f>
        <v/>
      </c>
      <c r="L18" s="12" t="str">
        <f>IF(B18="","",IF(SCORES!P$5=0,"",SCORES!P18/SCORES!P$5*100))</f>
        <v/>
      </c>
      <c r="M18" s="12" t="str">
        <f>IF(L18="","",L18*SETTINGS!$E$9/100)</f>
        <v/>
      </c>
      <c r="N18" s="12" t="str">
        <f>IF(B18="","",IF(SCORES!Q$5=0,"",SCORES!Q18/SCORES!Q$5*100))</f>
        <v/>
      </c>
      <c r="O18" s="12" t="str">
        <f>IF(N18="","",N18*SETTINGS!$E$10/100)</f>
        <v/>
      </c>
      <c r="P18" s="12" t="str">
        <f t="shared" si="0"/>
        <v/>
      </c>
      <c r="Q18" s="12" t="str">
        <f t="shared" si="1"/>
        <v/>
      </c>
      <c r="R18" s="9" t="str">
        <f>IF(B18="","",IF(U18="YES","INCOMPLETE",IF(T18="Attendance Warning","FAILED - ATTENDANCE",IF(P18&gt;=SETTINGS!$B$11,"PASSED","FAILED"))))</f>
        <v/>
      </c>
      <c r="S18" s="15" t="str">
        <f t="shared" si="2"/>
        <v/>
      </c>
      <c r="T18" s="9" t="str">
        <f>IF(B18="","",ATTENDANCE!AL18)</f>
        <v/>
      </c>
      <c r="U18" s="9" t="str">
        <f>IF(B18="","",IF(COUNT(SCORES!D18:Q18)&lt;COUNT(SCORES!D$5:Q$5),"YES","NO"))</f>
        <v/>
      </c>
      <c r="V18" s="8"/>
    </row>
    <row r="19" spans="1:22" ht="14.4">
      <c r="A19" s="1">
        <v>14</v>
      </c>
      <c r="B19" s="1" t="str">
        <f>IF('STUDENT LIST'!B18="","",'STUDENT LIST'!B18)</f>
        <v/>
      </c>
      <c r="C19" s="1" t="str">
        <f>IF('STUDENT LIST'!F18="","",'STUDENT LIST'!F18)</f>
        <v/>
      </c>
      <c r="D19" s="12" t="str">
        <f>IF(B19="","",ATTENDANCE!AK19)</f>
        <v/>
      </c>
      <c r="E19" s="12" t="str">
        <f>IF(D19="","",D19*SETTINGS!$E$5/100)</f>
        <v/>
      </c>
      <c r="F19" s="12" t="str">
        <f>IF(B19="","",IF(SUM(SCORES!D$5:H$5)=0,"",SUM(SCORES!D19:H19)/SUM(SCORES!D$5:H$5)*100))</f>
        <v/>
      </c>
      <c r="G19" s="12" t="str">
        <f>IF(F19="","",F19*SETTINGS!$E$6/100)</f>
        <v/>
      </c>
      <c r="H19" s="12" t="str">
        <f>IF(B19="","",IF(SUM(SCORES!I$5:M$5)=0,"",SUM(SCORES!I19:M19)/SUM(SCORES!I$5:M$5)*100))</f>
        <v/>
      </c>
      <c r="I19" s="12" t="str">
        <f>IF(H19="","",H19*SETTINGS!$E$7/100)</f>
        <v/>
      </c>
      <c r="J19" s="12" t="str">
        <f>IF(B19="","",IF(SUM(SCORES!N$5:O$5)=0,"",SUM(SCORES!N19:O19)/SUM(SCORES!N$5:O$5)*100))</f>
        <v/>
      </c>
      <c r="K19" s="12" t="str">
        <f>IF(J19="","",J19*SETTINGS!$E$8/100)</f>
        <v/>
      </c>
      <c r="L19" s="12" t="str">
        <f>IF(B19="","",IF(SCORES!P$5=0,"",SCORES!P19/SCORES!P$5*100))</f>
        <v/>
      </c>
      <c r="M19" s="12" t="str">
        <f>IF(L19="","",L19*SETTINGS!$E$9/100)</f>
        <v/>
      </c>
      <c r="N19" s="12" t="str">
        <f>IF(B19="","",IF(SCORES!Q$5=0,"",SCORES!Q19/SCORES!Q$5*100))</f>
        <v/>
      </c>
      <c r="O19" s="12" t="str">
        <f>IF(N19="","",N19*SETTINGS!$E$10/100)</f>
        <v/>
      </c>
      <c r="P19" s="12" t="str">
        <f t="shared" si="0"/>
        <v/>
      </c>
      <c r="Q19" s="12" t="str">
        <f t="shared" si="1"/>
        <v/>
      </c>
      <c r="R19" s="9" t="str">
        <f>IF(B19="","",IF(U19="YES","INCOMPLETE",IF(T19="Attendance Warning","FAILED - ATTENDANCE",IF(P19&gt;=SETTINGS!$B$11,"PASSED","FAILED"))))</f>
        <v/>
      </c>
      <c r="S19" s="15" t="str">
        <f t="shared" si="2"/>
        <v/>
      </c>
      <c r="T19" s="9" t="str">
        <f>IF(B19="","",ATTENDANCE!AL19)</f>
        <v/>
      </c>
      <c r="U19" s="9" t="str">
        <f>IF(B19="","",IF(COUNT(SCORES!D19:Q19)&lt;COUNT(SCORES!D$5:Q$5),"YES","NO"))</f>
        <v/>
      </c>
      <c r="V19" s="8"/>
    </row>
    <row r="20" spans="1:22" ht="14.4">
      <c r="A20" s="1">
        <v>15</v>
      </c>
      <c r="B20" s="1" t="str">
        <f>IF('STUDENT LIST'!B19="","",'STUDENT LIST'!B19)</f>
        <v/>
      </c>
      <c r="C20" s="1" t="str">
        <f>IF('STUDENT LIST'!F19="","",'STUDENT LIST'!F19)</f>
        <v/>
      </c>
      <c r="D20" s="12" t="str">
        <f>IF(B20="","",ATTENDANCE!AK20)</f>
        <v/>
      </c>
      <c r="E20" s="12" t="str">
        <f>IF(D20="","",D20*SETTINGS!$E$5/100)</f>
        <v/>
      </c>
      <c r="F20" s="12" t="str">
        <f>IF(B20="","",IF(SUM(SCORES!D$5:H$5)=0,"",SUM(SCORES!D20:H20)/SUM(SCORES!D$5:H$5)*100))</f>
        <v/>
      </c>
      <c r="G20" s="12" t="str">
        <f>IF(F20="","",F20*SETTINGS!$E$6/100)</f>
        <v/>
      </c>
      <c r="H20" s="12" t="str">
        <f>IF(B20="","",IF(SUM(SCORES!I$5:M$5)=0,"",SUM(SCORES!I20:M20)/SUM(SCORES!I$5:M$5)*100))</f>
        <v/>
      </c>
      <c r="I20" s="12" t="str">
        <f>IF(H20="","",H20*SETTINGS!$E$7/100)</f>
        <v/>
      </c>
      <c r="J20" s="12" t="str">
        <f>IF(B20="","",IF(SUM(SCORES!N$5:O$5)=0,"",SUM(SCORES!N20:O20)/SUM(SCORES!N$5:O$5)*100))</f>
        <v/>
      </c>
      <c r="K20" s="12" t="str">
        <f>IF(J20="","",J20*SETTINGS!$E$8/100)</f>
        <v/>
      </c>
      <c r="L20" s="12" t="str">
        <f>IF(B20="","",IF(SCORES!P$5=0,"",SCORES!P20/SCORES!P$5*100))</f>
        <v/>
      </c>
      <c r="M20" s="12" t="str">
        <f>IF(L20="","",L20*SETTINGS!$E$9/100)</f>
        <v/>
      </c>
      <c r="N20" s="12" t="str">
        <f>IF(B20="","",IF(SCORES!Q$5=0,"",SCORES!Q20/SCORES!Q$5*100))</f>
        <v/>
      </c>
      <c r="O20" s="12" t="str">
        <f>IF(N20="","",N20*SETTINGS!$E$10/100)</f>
        <v/>
      </c>
      <c r="P20" s="12" t="str">
        <f t="shared" si="0"/>
        <v/>
      </c>
      <c r="Q20" s="12" t="str">
        <f t="shared" si="1"/>
        <v/>
      </c>
      <c r="R20" s="9" t="str">
        <f>IF(B20="","",IF(U20="YES","INCOMPLETE",IF(T20="Attendance Warning","FAILED - ATTENDANCE",IF(P20&gt;=SETTINGS!$B$11,"PASSED","FAILED"))))</f>
        <v/>
      </c>
      <c r="S20" s="15" t="str">
        <f t="shared" si="2"/>
        <v/>
      </c>
      <c r="T20" s="9" t="str">
        <f>IF(B20="","",ATTENDANCE!AL20)</f>
        <v/>
      </c>
      <c r="U20" s="9" t="str">
        <f>IF(B20="","",IF(COUNT(SCORES!D20:Q20)&lt;COUNT(SCORES!D$5:Q$5),"YES","NO"))</f>
        <v/>
      </c>
      <c r="V20" s="8"/>
    </row>
    <row r="21" spans="1:22" ht="14.4">
      <c r="A21" s="1">
        <v>16</v>
      </c>
      <c r="B21" s="1" t="str">
        <f>IF('STUDENT LIST'!B20="","",'STUDENT LIST'!B20)</f>
        <v/>
      </c>
      <c r="C21" s="1" t="str">
        <f>IF('STUDENT LIST'!F20="","",'STUDENT LIST'!F20)</f>
        <v/>
      </c>
      <c r="D21" s="12" t="str">
        <f>IF(B21="","",ATTENDANCE!AK21)</f>
        <v/>
      </c>
      <c r="E21" s="12" t="str">
        <f>IF(D21="","",D21*SETTINGS!$E$5/100)</f>
        <v/>
      </c>
      <c r="F21" s="12" t="str">
        <f>IF(B21="","",IF(SUM(SCORES!D$5:H$5)=0,"",SUM(SCORES!D21:H21)/SUM(SCORES!D$5:H$5)*100))</f>
        <v/>
      </c>
      <c r="G21" s="12" t="str">
        <f>IF(F21="","",F21*SETTINGS!$E$6/100)</f>
        <v/>
      </c>
      <c r="H21" s="12" t="str">
        <f>IF(B21="","",IF(SUM(SCORES!I$5:M$5)=0,"",SUM(SCORES!I21:M21)/SUM(SCORES!I$5:M$5)*100))</f>
        <v/>
      </c>
      <c r="I21" s="12" t="str">
        <f>IF(H21="","",H21*SETTINGS!$E$7/100)</f>
        <v/>
      </c>
      <c r="J21" s="12" t="str">
        <f>IF(B21="","",IF(SUM(SCORES!N$5:O$5)=0,"",SUM(SCORES!N21:O21)/SUM(SCORES!N$5:O$5)*100))</f>
        <v/>
      </c>
      <c r="K21" s="12" t="str">
        <f>IF(J21="","",J21*SETTINGS!$E$8/100)</f>
        <v/>
      </c>
      <c r="L21" s="12" t="str">
        <f>IF(B21="","",IF(SCORES!P$5=0,"",SCORES!P21/SCORES!P$5*100))</f>
        <v/>
      </c>
      <c r="M21" s="12" t="str">
        <f>IF(L21="","",L21*SETTINGS!$E$9/100)</f>
        <v/>
      </c>
      <c r="N21" s="12" t="str">
        <f>IF(B21="","",IF(SCORES!Q$5=0,"",SCORES!Q21/SCORES!Q$5*100))</f>
        <v/>
      </c>
      <c r="O21" s="12" t="str">
        <f>IF(N21="","",N21*SETTINGS!$E$10/100)</f>
        <v/>
      </c>
      <c r="P21" s="12" t="str">
        <f t="shared" si="0"/>
        <v/>
      </c>
      <c r="Q21" s="12" t="str">
        <f t="shared" si="1"/>
        <v/>
      </c>
      <c r="R21" s="9" t="str">
        <f>IF(B21="","",IF(U21="YES","INCOMPLETE",IF(T21="Attendance Warning","FAILED - ATTENDANCE",IF(P21&gt;=SETTINGS!$B$11,"PASSED","FAILED"))))</f>
        <v/>
      </c>
      <c r="S21" s="15" t="str">
        <f t="shared" si="2"/>
        <v/>
      </c>
      <c r="T21" s="9" t="str">
        <f>IF(B21="","",ATTENDANCE!AL21)</f>
        <v/>
      </c>
      <c r="U21" s="9" t="str">
        <f>IF(B21="","",IF(COUNT(SCORES!D21:Q21)&lt;COUNT(SCORES!D$5:Q$5),"YES","NO"))</f>
        <v/>
      </c>
      <c r="V21" s="8"/>
    </row>
    <row r="22" spans="1:22" ht="14.4">
      <c r="A22" s="1">
        <v>17</v>
      </c>
      <c r="B22" s="1" t="str">
        <f>IF('STUDENT LIST'!B21="","",'STUDENT LIST'!B21)</f>
        <v/>
      </c>
      <c r="C22" s="1" t="str">
        <f>IF('STUDENT LIST'!F21="","",'STUDENT LIST'!F21)</f>
        <v/>
      </c>
      <c r="D22" s="12" t="str">
        <f>IF(B22="","",ATTENDANCE!AK22)</f>
        <v/>
      </c>
      <c r="E22" s="12" t="str">
        <f>IF(D22="","",D22*SETTINGS!$E$5/100)</f>
        <v/>
      </c>
      <c r="F22" s="12" t="str">
        <f>IF(B22="","",IF(SUM(SCORES!D$5:H$5)=0,"",SUM(SCORES!D22:H22)/SUM(SCORES!D$5:H$5)*100))</f>
        <v/>
      </c>
      <c r="G22" s="12" t="str">
        <f>IF(F22="","",F22*SETTINGS!$E$6/100)</f>
        <v/>
      </c>
      <c r="H22" s="12" t="str">
        <f>IF(B22="","",IF(SUM(SCORES!I$5:M$5)=0,"",SUM(SCORES!I22:M22)/SUM(SCORES!I$5:M$5)*100))</f>
        <v/>
      </c>
      <c r="I22" s="12" t="str">
        <f>IF(H22="","",H22*SETTINGS!$E$7/100)</f>
        <v/>
      </c>
      <c r="J22" s="12" t="str">
        <f>IF(B22="","",IF(SUM(SCORES!N$5:O$5)=0,"",SUM(SCORES!N22:O22)/SUM(SCORES!N$5:O$5)*100))</f>
        <v/>
      </c>
      <c r="K22" s="12" t="str">
        <f>IF(J22="","",J22*SETTINGS!$E$8/100)</f>
        <v/>
      </c>
      <c r="L22" s="12" t="str">
        <f>IF(B22="","",IF(SCORES!P$5=0,"",SCORES!P22/SCORES!P$5*100))</f>
        <v/>
      </c>
      <c r="M22" s="12" t="str">
        <f>IF(L22="","",L22*SETTINGS!$E$9/100)</f>
        <v/>
      </c>
      <c r="N22" s="12" t="str">
        <f>IF(B22="","",IF(SCORES!Q$5=0,"",SCORES!Q22/SCORES!Q$5*100))</f>
        <v/>
      </c>
      <c r="O22" s="12" t="str">
        <f>IF(N22="","",N22*SETTINGS!$E$10/100)</f>
        <v/>
      </c>
      <c r="P22" s="12" t="str">
        <f t="shared" si="0"/>
        <v/>
      </c>
      <c r="Q22" s="12" t="str">
        <f t="shared" si="1"/>
        <v/>
      </c>
      <c r="R22" s="9" t="str">
        <f>IF(B22="","",IF(U22="YES","INCOMPLETE",IF(T22="Attendance Warning","FAILED - ATTENDANCE",IF(P22&gt;=SETTINGS!$B$11,"PASSED","FAILED"))))</f>
        <v/>
      </c>
      <c r="S22" s="15" t="str">
        <f t="shared" si="2"/>
        <v/>
      </c>
      <c r="T22" s="9" t="str">
        <f>IF(B22="","",ATTENDANCE!AL22)</f>
        <v/>
      </c>
      <c r="U22" s="9" t="str">
        <f>IF(B22="","",IF(COUNT(SCORES!D22:Q22)&lt;COUNT(SCORES!D$5:Q$5),"YES","NO"))</f>
        <v/>
      </c>
      <c r="V22" s="8"/>
    </row>
    <row r="23" spans="1:22" ht="14.4">
      <c r="A23" s="1">
        <v>18</v>
      </c>
      <c r="B23" s="1" t="str">
        <f>IF('STUDENT LIST'!B22="","",'STUDENT LIST'!B22)</f>
        <v/>
      </c>
      <c r="C23" s="1" t="str">
        <f>IF('STUDENT LIST'!F22="","",'STUDENT LIST'!F22)</f>
        <v/>
      </c>
      <c r="D23" s="12" t="str">
        <f>IF(B23="","",ATTENDANCE!AK23)</f>
        <v/>
      </c>
      <c r="E23" s="12" t="str">
        <f>IF(D23="","",D23*SETTINGS!$E$5/100)</f>
        <v/>
      </c>
      <c r="F23" s="12" t="str">
        <f>IF(B23="","",IF(SUM(SCORES!D$5:H$5)=0,"",SUM(SCORES!D23:H23)/SUM(SCORES!D$5:H$5)*100))</f>
        <v/>
      </c>
      <c r="G23" s="12" t="str">
        <f>IF(F23="","",F23*SETTINGS!$E$6/100)</f>
        <v/>
      </c>
      <c r="H23" s="12" t="str">
        <f>IF(B23="","",IF(SUM(SCORES!I$5:M$5)=0,"",SUM(SCORES!I23:M23)/SUM(SCORES!I$5:M$5)*100))</f>
        <v/>
      </c>
      <c r="I23" s="12" t="str">
        <f>IF(H23="","",H23*SETTINGS!$E$7/100)</f>
        <v/>
      </c>
      <c r="J23" s="12" t="str">
        <f>IF(B23="","",IF(SUM(SCORES!N$5:O$5)=0,"",SUM(SCORES!N23:O23)/SUM(SCORES!N$5:O$5)*100))</f>
        <v/>
      </c>
      <c r="K23" s="12" t="str">
        <f>IF(J23="","",J23*SETTINGS!$E$8/100)</f>
        <v/>
      </c>
      <c r="L23" s="12" t="str">
        <f>IF(B23="","",IF(SCORES!P$5=0,"",SCORES!P23/SCORES!P$5*100))</f>
        <v/>
      </c>
      <c r="M23" s="12" t="str">
        <f>IF(L23="","",L23*SETTINGS!$E$9/100)</f>
        <v/>
      </c>
      <c r="N23" s="12" t="str">
        <f>IF(B23="","",IF(SCORES!Q$5=0,"",SCORES!Q23/SCORES!Q$5*100))</f>
        <v/>
      </c>
      <c r="O23" s="12" t="str">
        <f>IF(N23="","",N23*SETTINGS!$E$10/100)</f>
        <v/>
      </c>
      <c r="P23" s="12" t="str">
        <f t="shared" si="0"/>
        <v/>
      </c>
      <c r="Q23" s="12" t="str">
        <f t="shared" si="1"/>
        <v/>
      </c>
      <c r="R23" s="9" t="str">
        <f>IF(B23="","",IF(U23="YES","INCOMPLETE",IF(T23="Attendance Warning","FAILED - ATTENDANCE",IF(P23&gt;=SETTINGS!$B$11,"PASSED","FAILED"))))</f>
        <v/>
      </c>
      <c r="S23" s="15" t="str">
        <f t="shared" si="2"/>
        <v/>
      </c>
      <c r="T23" s="9" t="str">
        <f>IF(B23="","",ATTENDANCE!AL23)</f>
        <v/>
      </c>
      <c r="U23" s="9" t="str">
        <f>IF(B23="","",IF(COUNT(SCORES!D23:Q23)&lt;COUNT(SCORES!D$5:Q$5),"YES","NO"))</f>
        <v/>
      </c>
      <c r="V23" s="8"/>
    </row>
    <row r="24" spans="1:22" ht="14.4">
      <c r="A24" s="1">
        <v>19</v>
      </c>
      <c r="B24" s="1" t="str">
        <f>IF('STUDENT LIST'!B23="","",'STUDENT LIST'!B23)</f>
        <v/>
      </c>
      <c r="C24" s="1" t="str">
        <f>IF('STUDENT LIST'!F23="","",'STUDENT LIST'!F23)</f>
        <v/>
      </c>
      <c r="D24" s="12" t="str">
        <f>IF(B24="","",ATTENDANCE!AK24)</f>
        <v/>
      </c>
      <c r="E24" s="12" t="str">
        <f>IF(D24="","",D24*SETTINGS!$E$5/100)</f>
        <v/>
      </c>
      <c r="F24" s="12" t="str">
        <f>IF(B24="","",IF(SUM(SCORES!D$5:H$5)=0,"",SUM(SCORES!D24:H24)/SUM(SCORES!D$5:H$5)*100))</f>
        <v/>
      </c>
      <c r="G24" s="12" t="str">
        <f>IF(F24="","",F24*SETTINGS!$E$6/100)</f>
        <v/>
      </c>
      <c r="H24" s="12" t="str">
        <f>IF(B24="","",IF(SUM(SCORES!I$5:M$5)=0,"",SUM(SCORES!I24:M24)/SUM(SCORES!I$5:M$5)*100))</f>
        <v/>
      </c>
      <c r="I24" s="12" t="str">
        <f>IF(H24="","",H24*SETTINGS!$E$7/100)</f>
        <v/>
      </c>
      <c r="J24" s="12" t="str">
        <f>IF(B24="","",IF(SUM(SCORES!N$5:O$5)=0,"",SUM(SCORES!N24:O24)/SUM(SCORES!N$5:O$5)*100))</f>
        <v/>
      </c>
      <c r="K24" s="12" t="str">
        <f>IF(J24="","",J24*SETTINGS!$E$8/100)</f>
        <v/>
      </c>
      <c r="L24" s="12" t="str">
        <f>IF(B24="","",IF(SCORES!P$5=0,"",SCORES!P24/SCORES!P$5*100))</f>
        <v/>
      </c>
      <c r="M24" s="12" t="str">
        <f>IF(L24="","",L24*SETTINGS!$E$9/100)</f>
        <v/>
      </c>
      <c r="N24" s="12" t="str">
        <f>IF(B24="","",IF(SCORES!Q$5=0,"",SCORES!Q24/SCORES!Q$5*100))</f>
        <v/>
      </c>
      <c r="O24" s="12" t="str">
        <f>IF(N24="","",N24*SETTINGS!$E$10/100)</f>
        <v/>
      </c>
      <c r="P24" s="12" t="str">
        <f t="shared" si="0"/>
        <v/>
      </c>
      <c r="Q24" s="12" t="str">
        <f t="shared" si="1"/>
        <v/>
      </c>
      <c r="R24" s="9" t="str">
        <f>IF(B24="","",IF(U24="YES","INCOMPLETE",IF(T24="Attendance Warning","FAILED - ATTENDANCE",IF(P24&gt;=SETTINGS!$B$11,"PASSED","FAILED"))))</f>
        <v/>
      </c>
      <c r="S24" s="15" t="str">
        <f t="shared" si="2"/>
        <v/>
      </c>
      <c r="T24" s="9" t="str">
        <f>IF(B24="","",ATTENDANCE!AL24)</f>
        <v/>
      </c>
      <c r="U24" s="9" t="str">
        <f>IF(B24="","",IF(COUNT(SCORES!D24:Q24)&lt;COUNT(SCORES!D$5:Q$5),"YES","NO"))</f>
        <v/>
      </c>
      <c r="V24" s="8"/>
    </row>
    <row r="25" spans="1:22" ht="14.4">
      <c r="A25" s="1">
        <v>20</v>
      </c>
      <c r="B25" s="1" t="str">
        <f>IF('STUDENT LIST'!B24="","",'STUDENT LIST'!B24)</f>
        <v/>
      </c>
      <c r="C25" s="1" t="str">
        <f>IF('STUDENT LIST'!F24="","",'STUDENT LIST'!F24)</f>
        <v/>
      </c>
      <c r="D25" s="12" t="str">
        <f>IF(B25="","",ATTENDANCE!AK25)</f>
        <v/>
      </c>
      <c r="E25" s="12" t="str">
        <f>IF(D25="","",D25*SETTINGS!$E$5/100)</f>
        <v/>
      </c>
      <c r="F25" s="12" t="str">
        <f>IF(B25="","",IF(SUM(SCORES!D$5:H$5)=0,"",SUM(SCORES!D25:H25)/SUM(SCORES!D$5:H$5)*100))</f>
        <v/>
      </c>
      <c r="G25" s="12" t="str">
        <f>IF(F25="","",F25*SETTINGS!$E$6/100)</f>
        <v/>
      </c>
      <c r="H25" s="12" t="str">
        <f>IF(B25="","",IF(SUM(SCORES!I$5:M$5)=0,"",SUM(SCORES!I25:M25)/SUM(SCORES!I$5:M$5)*100))</f>
        <v/>
      </c>
      <c r="I25" s="12" t="str">
        <f>IF(H25="","",H25*SETTINGS!$E$7/100)</f>
        <v/>
      </c>
      <c r="J25" s="12" t="str">
        <f>IF(B25="","",IF(SUM(SCORES!N$5:O$5)=0,"",SUM(SCORES!N25:O25)/SUM(SCORES!N$5:O$5)*100))</f>
        <v/>
      </c>
      <c r="K25" s="12" t="str">
        <f>IF(J25="","",J25*SETTINGS!$E$8/100)</f>
        <v/>
      </c>
      <c r="L25" s="12" t="str">
        <f>IF(B25="","",IF(SCORES!P$5=0,"",SCORES!P25/SCORES!P$5*100))</f>
        <v/>
      </c>
      <c r="M25" s="12" t="str">
        <f>IF(L25="","",L25*SETTINGS!$E$9/100)</f>
        <v/>
      </c>
      <c r="N25" s="12" t="str">
        <f>IF(B25="","",IF(SCORES!Q$5=0,"",SCORES!Q25/SCORES!Q$5*100))</f>
        <v/>
      </c>
      <c r="O25" s="12" t="str">
        <f>IF(N25="","",N25*SETTINGS!$E$10/100)</f>
        <v/>
      </c>
      <c r="P25" s="12" t="str">
        <f t="shared" si="0"/>
        <v/>
      </c>
      <c r="Q25" s="12" t="str">
        <f t="shared" si="1"/>
        <v/>
      </c>
      <c r="R25" s="9" t="str">
        <f>IF(B25="","",IF(U25="YES","INCOMPLETE",IF(T25="Attendance Warning","FAILED - ATTENDANCE",IF(P25&gt;=SETTINGS!$B$11,"PASSED","FAILED"))))</f>
        <v/>
      </c>
      <c r="S25" s="15" t="str">
        <f t="shared" si="2"/>
        <v/>
      </c>
      <c r="T25" s="9" t="str">
        <f>IF(B25="","",ATTENDANCE!AL25)</f>
        <v/>
      </c>
      <c r="U25" s="9" t="str">
        <f>IF(B25="","",IF(COUNT(SCORES!D25:Q25)&lt;COUNT(SCORES!D$5:Q$5),"YES","NO"))</f>
        <v/>
      </c>
      <c r="V25" s="8"/>
    </row>
    <row r="26" spans="1:22" ht="14.4">
      <c r="A26" s="1">
        <v>21</v>
      </c>
      <c r="B26" s="1" t="str">
        <f>IF('STUDENT LIST'!B25="","",'STUDENT LIST'!B25)</f>
        <v/>
      </c>
      <c r="C26" s="1" t="str">
        <f>IF('STUDENT LIST'!F25="","",'STUDENT LIST'!F25)</f>
        <v/>
      </c>
      <c r="D26" s="12" t="str">
        <f>IF(B26="","",ATTENDANCE!AK26)</f>
        <v/>
      </c>
      <c r="E26" s="12" t="str">
        <f>IF(D26="","",D26*SETTINGS!$E$5/100)</f>
        <v/>
      </c>
      <c r="F26" s="12" t="str">
        <f>IF(B26="","",IF(SUM(SCORES!D$5:H$5)=0,"",SUM(SCORES!D26:H26)/SUM(SCORES!D$5:H$5)*100))</f>
        <v/>
      </c>
      <c r="G26" s="12" t="str">
        <f>IF(F26="","",F26*SETTINGS!$E$6/100)</f>
        <v/>
      </c>
      <c r="H26" s="12" t="str">
        <f>IF(B26="","",IF(SUM(SCORES!I$5:M$5)=0,"",SUM(SCORES!I26:M26)/SUM(SCORES!I$5:M$5)*100))</f>
        <v/>
      </c>
      <c r="I26" s="12" t="str">
        <f>IF(H26="","",H26*SETTINGS!$E$7/100)</f>
        <v/>
      </c>
      <c r="J26" s="12" t="str">
        <f>IF(B26="","",IF(SUM(SCORES!N$5:O$5)=0,"",SUM(SCORES!N26:O26)/SUM(SCORES!N$5:O$5)*100))</f>
        <v/>
      </c>
      <c r="K26" s="12" t="str">
        <f>IF(J26="","",J26*SETTINGS!$E$8/100)</f>
        <v/>
      </c>
      <c r="L26" s="12" t="str">
        <f>IF(B26="","",IF(SCORES!P$5=0,"",SCORES!P26/SCORES!P$5*100))</f>
        <v/>
      </c>
      <c r="M26" s="12" t="str">
        <f>IF(L26="","",L26*SETTINGS!$E$9/100)</f>
        <v/>
      </c>
      <c r="N26" s="12" t="str">
        <f>IF(B26="","",IF(SCORES!Q$5=0,"",SCORES!Q26/SCORES!Q$5*100))</f>
        <v/>
      </c>
      <c r="O26" s="12" t="str">
        <f>IF(N26="","",N26*SETTINGS!$E$10/100)</f>
        <v/>
      </c>
      <c r="P26" s="12" t="str">
        <f t="shared" si="0"/>
        <v/>
      </c>
      <c r="Q26" s="12" t="str">
        <f t="shared" si="1"/>
        <v/>
      </c>
      <c r="R26" s="9" t="str">
        <f>IF(B26="","",IF(U26="YES","INCOMPLETE",IF(T26="Attendance Warning","FAILED - ATTENDANCE",IF(P26&gt;=SETTINGS!$B$11,"PASSED","FAILED"))))</f>
        <v/>
      </c>
      <c r="S26" s="15" t="str">
        <f t="shared" si="2"/>
        <v/>
      </c>
      <c r="T26" s="9" t="str">
        <f>IF(B26="","",ATTENDANCE!AL26)</f>
        <v/>
      </c>
      <c r="U26" s="9" t="str">
        <f>IF(B26="","",IF(COUNT(SCORES!D26:Q26)&lt;COUNT(SCORES!D$5:Q$5),"YES","NO"))</f>
        <v/>
      </c>
      <c r="V26" s="8"/>
    </row>
    <row r="27" spans="1:22" ht="14.4">
      <c r="A27" s="1">
        <v>22</v>
      </c>
      <c r="B27" s="1" t="str">
        <f>IF('STUDENT LIST'!B26="","",'STUDENT LIST'!B26)</f>
        <v/>
      </c>
      <c r="C27" s="1" t="str">
        <f>IF('STUDENT LIST'!F26="","",'STUDENT LIST'!F26)</f>
        <v/>
      </c>
      <c r="D27" s="12" t="str">
        <f>IF(B27="","",ATTENDANCE!AK27)</f>
        <v/>
      </c>
      <c r="E27" s="12" t="str">
        <f>IF(D27="","",D27*SETTINGS!$E$5/100)</f>
        <v/>
      </c>
      <c r="F27" s="12" t="str">
        <f>IF(B27="","",IF(SUM(SCORES!D$5:H$5)=0,"",SUM(SCORES!D27:H27)/SUM(SCORES!D$5:H$5)*100))</f>
        <v/>
      </c>
      <c r="G27" s="12" t="str">
        <f>IF(F27="","",F27*SETTINGS!$E$6/100)</f>
        <v/>
      </c>
      <c r="H27" s="12" t="str">
        <f>IF(B27="","",IF(SUM(SCORES!I$5:M$5)=0,"",SUM(SCORES!I27:M27)/SUM(SCORES!I$5:M$5)*100))</f>
        <v/>
      </c>
      <c r="I27" s="12" t="str">
        <f>IF(H27="","",H27*SETTINGS!$E$7/100)</f>
        <v/>
      </c>
      <c r="J27" s="12" t="str">
        <f>IF(B27="","",IF(SUM(SCORES!N$5:O$5)=0,"",SUM(SCORES!N27:O27)/SUM(SCORES!N$5:O$5)*100))</f>
        <v/>
      </c>
      <c r="K27" s="12" t="str">
        <f>IF(J27="","",J27*SETTINGS!$E$8/100)</f>
        <v/>
      </c>
      <c r="L27" s="12" t="str">
        <f>IF(B27="","",IF(SCORES!P$5=0,"",SCORES!P27/SCORES!P$5*100))</f>
        <v/>
      </c>
      <c r="M27" s="12" t="str">
        <f>IF(L27="","",L27*SETTINGS!$E$9/100)</f>
        <v/>
      </c>
      <c r="N27" s="12" t="str">
        <f>IF(B27="","",IF(SCORES!Q$5=0,"",SCORES!Q27/SCORES!Q$5*100))</f>
        <v/>
      </c>
      <c r="O27" s="12" t="str">
        <f>IF(N27="","",N27*SETTINGS!$E$10/100)</f>
        <v/>
      </c>
      <c r="P27" s="12" t="str">
        <f t="shared" si="0"/>
        <v/>
      </c>
      <c r="Q27" s="12" t="str">
        <f t="shared" si="1"/>
        <v/>
      </c>
      <c r="R27" s="9" t="str">
        <f>IF(B27="","",IF(U27="YES","INCOMPLETE",IF(T27="Attendance Warning","FAILED - ATTENDANCE",IF(P27&gt;=SETTINGS!$B$11,"PASSED","FAILED"))))</f>
        <v/>
      </c>
      <c r="S27" s="15" t="str">
        <f t="shared" si="2"/>
        <v/>
      </c>
      <c r="T27" s="9" t="str">
        <f>IF(B27="","",ATTENDANCE!AL27)</f>
        <v/>
      </c>
      <c r="U27" s="9" t="str">
        <f>IF(B27="","",IF(COUNT(SCORES!D27:Q27)&lt;COUNT(SCORES!D$5:Q$5),"YES","NO"))</f>
        <v/>
      </c>
      <c r="V27" s="8"/>
    </row>
    <row r="28" spans="1:22" ht="14.4">
      <c r="A28" s="1">
        <v>23</v>
      </c>
      <c r="B28" s="1" t="str">
        <f>IF('STUDENT LIST'!B27="","",'STUDENT LIST'!B27)</f>
        <v/>
      </c>
      <c r="C28" s="1" t="str">
        <f>IF('STUDENT LIST'!F27="","",'STUDENT LIST'!F27)</f>
        <v/>
      </c>
      <c r="D28" s="12" t="str">
        <f>IF(B28="","",ATTENDANCE!AK28)</f>
        <v/>
      </c>
      <c r="E28" s="12" t="str">
        <f>IF(D28="","",D28*SETTINGS!$E$5/100)</f>
        <v/>
      </c>
      <c r="F28" s="12" t="str">
        <f>IF(B28="","",IF(SUM(SCORES!D$5:H$5)=0,"",SUM(SCORES!D28:H28)/SUM(SCORES!D$5:H$5)*100))</f>
        <v/>
      </c>
      <c r="G28" s="12" t="str">
        <f>IF(F28="","",F28*SETTINGS!$E$6/100)</f>
        <v/>
      </c>
      <c r="H28" s="12" t="str">
        <f>IF(B28="","",IF(SUM(SCORES!I$5:M$5)=0,"",SUM(SCORES!I28:M28)/SUM(SCORES!I$5:M$5)*100))</f>
        <v/>
      </c>
      <c r="I28" s="12" t="str">
        <f>IF(H28="","",H28*SETTINGS!$E$7/100)</f>
        <v/>
      </c>
      <c r="J28" s="12" t="str">
        <f>IF(B28="","",IF(SUM(SCORES!N$5:O$5)=0,"",SUM(SCORES!N28:O28)/SUM(SCORES!N$5:O$5)*100))</f>
        <v/>
      </c>
      <c r="K28" s="12" t="str">
        <f>IF(J28="","",J28*SETTINGS!$E$8/100)</f>
        <v/>
      </c>
      <c r="L28" s="12" t="str">
        <f>IF(B28="","",IF(SCORES!P$5=0,"",SCORES!P28/SCORES!P$5*100))</f>
        <v/>
      </c>
      <c r="M28" s="12" t="str">
        <f>IF(L28="","",L28*SETTINGS!$E$9/100)</f>
        <v/>
      </c>
      <c r="N28" s="12" t="str">
        <f>IF(B28="","",IF(SCORES!Q$5=0,"",SCORES!Q28/SCORES!Q$5*100))</f>
        <v/>
      </c>
      <c r="O28" s="12" t="str">
        <f>IF(N28="","",N28*SETTINGS!$E$10/100)</f>
        <v/>
      </c>
      <c r="P28" s="12" t="str">
        <f t="shared" si="0"/>
        <v/>
      </c>
      <c r="Q28" s="12" t="str">
        <f t="shared" si="1"/>
        <v/>
      </c>
      <c r="R28" s="9" t="str">
        <f>IF(B28="","",IF(U28="YES","INCOMPLETE",IF(T28="Attendance Warning","FAILED - ATTENDANCE",IF(P28&gt;=SETTINGS!$B$11,"PASSED","FAILED"))))</f>
        <v/>
      </c>
      <c r="S28" s="15" t="str">
        <f t="shared" si="2"/>
        <v/>
      </c>
      <c r="T28" s="9" t="str">
        <f>IF(B28="","",ATTENDANCE!AL28)</f>
        <v/>
      </c>
      <c r="U28" s="9" t="str">
        <f>IF(B28="","",IF(COUNT(SCORES!D28:Q28)&lt;COUNT(SCORES!D$5:Q$5),"YES","NO"))</f>
        <v/>
      </c>
      <c r="V28" s="8"/>
    </row>
    <row r="29" spans="1:22" ht="14.4">
      <c r="A29" s="1">
        <v>24</v>
      </c>
      <c r="B29" s="1" t="str">
        <f>IF('STUDENT LIST'!B28="","",'STUDENT LIST'!B28)</f>
        <v/>
      </c>
      <c r="C29" s="1" t="str">
        <f>IF('STUDENT LIST'!F28="","",'STUDENT LIST'!F28)</f>
        <v/>
      </c>
      <c r="D29" s="12" t="str">
        <f>IF(B29="","",ATTENDANCE!AK29)</f>
        <v/>
      </c>
      <c r="E29" s="12" t="str">
        <f>IF(D29="","",D29*SETTINGS!$E$5/100)</f>
        <v/>
      </c>
      <c r="F29" s="12" t="str">
        <f>IF(B29="","",IF(SUM(SCORES!D$5:H$5)=0,"",SUM(SCORES!D29:H29)/SUM(SCORES!D$5:H$5)*100))</f>
        <v/>
      </c>
      <c r="G29" s="12" t="str">
        <f>IF(F29="","",F29*SETTINGS!$E$6/100)</f>
        <v/>
      </c>
      <c r="H29" s="12" t="str">
        <f>IF(B29="","",IF(SUM(SCORES!I$5:M$5)=0,"",SUM(SCORES!I29:M29)/SUM(SCORES!I$5:M$5)*100))</f>
        <v/>
      </c>
      <c r="I29" s="12" t="str">
        <f>IF(H29="","",H29*SETTINGS!$E$7/100)</f>
        <v/>
      </c>
      <c r="J29" s="12" t="str">
        <f>IF(B29="","",IF(SUM(SCORES!N$5:O$5)=0,"",SUM(SCORES!N29:O29)/SUM(SCORES!N$5:O$5)*100))</f>
        <v/>
      </c>
      <c r="K29" s="12" t="str">
        <f>IF(J29="","",J29*SETTINGS!$E$8/100)</f>
        <v/>
      </c>
      <c r="L29" s="12" t="str">
        <f>IF(B29="","",IF(SCORES!P$5=0,"",SCORES!P29/SCORES!P$5*100))</f>
        <v/>
      </c>
      <c r="M29" s="12" t="str">
        <f>IF(L29="","",L29*SETTINGS!$E$9/100)</f>
        <v/>
      </c>
      <c r="N29" s="12" t="str">
        <f>IF(B29="","",IF(SCORES!Q$5=0,"",SCORES!Q29/SCORES!Q$5*100))</f>
        <v/>
      </c>
      <c r="O29" s="12" t="str">
        <f>IF(N29="","",N29*SETTINGS!$E$10/100)</f>
        <v/>
      </c>
      <c r="P29" s="12" t="str">
        <f t="shared" si="0"/>
        <v/>
      </c>
      <c r="Q29" s="12" t="str">
        <f t="shared" si="1"/>
        <v/>
      </c>
      <c r="R29" s="9" t="str">
        <f>IF(B29="","",IF(U29="YES","INCOMPLETE",IF(T29="Attendance Warning","FAILED - ATTENDANCE",IF(P29&gt;=SETTINGS!$B$11,"PASSED","FAILED"))))</f>
        <v/>
      </c>
      <c r="S29" s="15" t="str">
        <f t="shared" si="2"/>
        <v/>
      </c>
      <c r="T29" s="9" t="str">
        <f>IF(B29="","",ATTENDANCE!AL29)</f>
        <v/>
      </c>
      <c r="U29" s="9" t="str">
        <f>IF(B29="","",IF(COUNT(SCORES!D29:Q29)&lt;COUNT(SCORES!D$5:Q$5),"YES","NO"))</f>
        <v/>
      </c>
      <c r="V29" s="8"/>
    </row>
    <row r="30" spans="1:22" ht="14.4">
      <c r="A30" s="1">
        <v>25</v>
      </c>
      <c r="B30" s="1" t="str">
        <f>IF('STUDENT LIST'!B29="","",'STUDENT LIST'!B29)</f>
        <v/>
      </c>
      <c r="C30" s="1" t="str">
        <f>IF('STUDENT LIST'!F29="","",'STUDENT LIST'!F29)</f>
        <v/>
      </c>
      <c r="D30" s="12" t="str">
        <f>IF(B30="","",ATTENDANCE!AK30)</f>
        <v/>
      </c>
      <c r="E30" s="12" t="str">
        <f>IF(D30="","",D30*SETTINGS!$E$5/100)</f>
        <v/>
      </c>
      <c r="F30" s="12" t="str">
        <f>IF(B30="","",IF(SUM(SCORES!D$5:H$5)=0,"",SUM(SCORES!D30:H30)/SUM(SCORES!D$5:H$5)*100))</f>
        <v/>
      </c>
      <c r="G30" s="12" t="str">
        <f>IF(F30="","",F30*SETTINGS!$E$6/100)</f>
        <v/>
      </c>
      <c r="H30" s="12" t="str">
        <f>IF(B30="","",IF(SUM(SCORES!I$5:M$5)=0,"",SUM(SCORES!I30:M30)/SUM(SCORES!I$5:M$5)*100))</f>
        <v/>
      </c>
      <c r="I30" s="12" t="str">
        <f>IF(H30="","",H30*SETTINGS!$E$7/100)</f>
        <v/>
      </c>
      <c r="J30" s="12" t="str">
        <f>IF(B30="","",IF(SUM(SCORES!N$5:O$5)=0,"",SUM(SCORES!N30:O30)/SUM(SCORES!N$5:O$5)*100))</f>
        <v/>
      </c>
      <c r="K30" s="12" t="str">
        <f>IF(J30="","",J30*SETTINGS!$E$8/100)</f>
        <v/>
      </c>
      <c r="L30" s="12" t="str">
        <f>IF(B30="","",IF(SCORES!P$5=0,"",SCORES!P30/SCORES!P$5*100))</f>
        <v/>
      </c>
      <c r="M30" s="12" t="str">
        <f>IF(L30="","",L30*SETTINGS!$E$9/100)</f>
        <v/>
      </c>
      <c r="N30" s="12" t="str">
        <f>IF(B30="","",IF(SCORES!Q$5=0,"",SCORES!Q30/SCORES!Q$5*100))</f>
        <v/>
      </c>
      <c r="O30" s="12" t="str">
        <f>IF(N30="","",N30*SETTINGS!$E$10/100)</f>
        <v/>
      </c>
      <c r="P30" s="12" t="str">
        <f t="shared" si="0"/>
        <v/>
      </c>
      <c r="Q30" s="12" t="str">
        <f t="shared" si="1"/>
        <v/>
      </c>
      <c r="R30" s="9" t="str">
        <f>IF(B30="","",IF(U30="YES","INCOMPLETE",IF(T30="Attendance Warning","FAILED - ATTENDANCE",IF(P30&gt;=SETTINGS!$B$11,"PASSED","FAILED"))))</f>
        <v/>
      </c>
      <c r="S30" s="15" t="str">
        <f t="shared" si="2"/>
        <v/>
      </c>
      <c r="T30" s="9" t="str">
        <f>IF(B30="","",ATTENDANCE!AL30)</f>
        <v/>
      </c>
      <c r="U30" s="9" t="str">
        <f>IF(B30="","",IF(COUNT(SCORES!D30:Q30)&lt;COUNT(SCORES!D$5:Q$5),"YES","NO"))</f>
        <v/>
      </c>
      <c r="V30" s="8"/>
    </row>
    <row r="31" spans="1:22" ht="14.4">
      <c r="A31" s="1">
        <v>26</v>
      </c>
      <c r="B31" s="1" t="str">
        <f>IF('STUDENT LIST'!B30="","",'STUDENT LIST'!B30)</f>
        <v/>
      </c>
      <c r="C31" s="1" t="str">
        <f>IF('STUDENT LIST'!F30="","",'STUDENT LIST'!F30)</f>
        <v/>
      </c>
      <c r="D31" s="12" t="str">
        <f>IF(B31="","",ATTENDANCE!AK31)</f>
        <v/>
      </c>
      <c r="E31" s="12" t="str">
        <f>IF(D31="","",D31*SETTINGS!$E$5/100)</f>
        <v/>
      </c>
      <c r="F31" s="12" t="str">
        <f>IF(B31="","",IF(SUM(SCORES!D$5:H$5)=0,"",SUM(SCORES!D31:H31)/SUM(SCORES!D$5:H$5)*100))</f>
        <v/>
      </c>
      <c r="G31" s="12" t="str">
        <f>IF(F31="","",F31*SETTINGS!$E$6/100)</f>
        <v/>
      </c>
      <c r="H31" s="12" t="str">
        <f>IF(B31="","",IF(SUM(SCORES!I$5:M$5)=0,"",SUM(SCORES!I31:M31)/SUM(SCORES!I$5:M$5)*100))</f>
        <v/>
      </c>
      <c r="I31" s="12" t="str">
        <f>IF(H31="","",H31*SETTINGS!$E$7/100)</f>
        <v/>
      </c>
      <c r="J31" s="12" t="str">
        <f>IF(B31="","",IF(SUM(SCORES!N$5:O$5)=0,"",SUM(SCORES!N31:O31)/SUM(SCORES!N$5:O$5)*100))</f>
        <v/>
      </c>
      <c r="K31" s="12" t="str">
        <f>IF(J31="","",J31*SETTINGS!$E$8/100)</f>
        <v/>
      </c>
      <c r="L31" s="12" t="str">
        <f>IF(B31="","",IF(SCORES!P$5=0,"",SCORES!P31/SCORES!P$5*100))</f>
        <v/>
      </c>
      <c r="M31" s="12" t="str">
        <f>IF(L31="","",L31*SETTINGS!$E$9/100)</f>
        <v/>
      </c>
      <c r="N31" s="12" t="str">
        <f>IF(B31="","",IF(SCORES!Q$5=0,"",SCORES!Q31/SCORES!Q$5*100))</f>
        <v/>
      </c>
      <c r="O31" s="12" t="str">
        <f>IF(N31="","",N31*SETTINGS!$E$10/100)</f>
        <v/>
      </c>
      <c r="P31" s="12" t="str">
        <f t="shared" si="0"/>
        <v/>
      </c>
      <c r="Q31" s="12" t="str">
        <f t="shared" si="1"/>
        <v/>
      </c>
      <c r="R31" s="9" t="str">
        <f>IF(B31="","",IF(U31="YES","INCOMPLETE",IF(T31="Attendance Warning","FAILED - ATTENDANCE",IF(P31&gt;=SETTINGS!$B$11,"PASSED","FAILED"))))</f>
        <v/>
      </c>
      <c r="S31" s="15" t="str">
        <f t="shared" si="2"/>
        <v/>
      </c>
      <c r="T31" s="9" t="str">
        <f>IF(B31="","",ATTENDANCE!AL31)</f>
        <v/>
      </c>
      <c r="U31" s="9" t="str">
        <f>IF(B31="","",IF(COUNT(SCORES!D31:Q31)&lt;COUNT(SCORES!D$5:Q$5),"YES","NO"))</f>
        <v/>
      </c>
      <c r="V31" s="8"/>
    </row>
    <row r="32" spans="1:22" ht="14.4">
      <c r="A32" s="1">
        <v>27</v>
      </c>
      <c r="B32" s="1" t="str">
        <f>IF('STUDENT LIST'!B31="","",'STUDENT LIST'!B31)</f>
        <v/>
      </c>
      <c r="C32" s="1" t="str">
        <f>IF('STUDENT LIST'!F31="","",'STUDENT LIST'!F31)</f>
        <v/>
      </c>
      <c r="D32" s="12" t="str">
        <f>IF(B32="","",ATTENDANCE!AK32)</f>
        <v/>
      </c>
      <c r="E32" s="12" t="str">
        <f>IF(D32="","",D32*SETTINGS!$E$5/100)</f>
        <v/>
      </c>
      <c r="F32" s="12" t="str">
        <f>IF(B32="","",IF(SUM(SCORES!D$5:H$5)=0,"",SUM(SCORES!D32:H32)/SUM(SCORES!D$5:H$5)*100))</f>
        <v/>
      </c>
      <c r="G32" s="12" t="str">
        <f>IF(F32="","",F32*SETTINGS!$E$6/100)</f>
        <v/>
      </c>
      <c r="H32" s="12" t="str">
        <f>IF(B32="","",IF(SUM(SCORES!I$5:M$5)=0,"",SUM(SCORES!I32:M32)/SUM(SCORES!I$5:M$5)*100))</f>
        <v/>
      </c>
      <c r="I32" s="12" t="str">
        <f>IF(H32="","",H32*SETTINGS!$E$7/100)</f>
        <v/>
      </c>
      <c r="J32" s="12" t="str">
        <f>IF(B32="","",IF(SUM(SCORES!N$5:O$5)=0,"",SUM(SCORES!N32:O32)/SUM(SCORES!N$5:O$5)*100))</f>
        <v/>
      </c>
      <c r="K32" s="12" t="str">
        <f>IF(J32="","",J32*SETTINGS!$E$8/100)</f>
        <v/>
      </c>
      <c r="L32" s="12" t="str">
        <f>IF(B32="","",IF(SCORES!P$5=0,"",SCORES!P32/SCORES!P$5*100))</f>
        <v/>
      </c>
      <c r="M32" s="12" t="str">
        <f>IF(L32="","",L32*SETTINGS!$E$9/100)</f>
        <v/>
      </c>
      <c r="N32" s="12" t="str">
        <f>IF(B32="","",IF(SCORES!Q$5=0,"",SCORES!Q32/SCORES!Q$5*100))</f>
        <v/>
      </c>
      <c r="O32" s="12" t="str">
        <f>IF(N32="","",N32*SETTINGS!$E$10/100)</f>
        <v/>
      </c>
      <c r="P32" s="12" t="str">
        <f t="shared" si="0"/>
        <v/>
      </c>
      <c r="Q32" s="12" t="str">
        <f t="shared" si="1"/>
        <v/>
      </c>
      <c r="R32" s="9" t="str">
        <f>IF(B32="","",IF(U32="YES","INCOMPLETE",IF(T32="Attendance Warning","FAILED - ATTENDANCE",IF(P32&gt;=SETTINGS!$B$11,"PASSED","FAILED"))))</f>
        <v/>
      </c>
      <c r="S32" s="15" t="str">
        <f t="shared" si="2"/>
        <v/>
      </c>
      <c r="T32" s="9" t="str">
        <f>IF(B32="","",ATTENDANCE!AL32)</f>
        <v/>
      </c>
      <c r="U32" s="9" t="str">
        <f>IF(B32="","",IF(COUNT(SCORES!D32:Q32)&lt;COUNT(SCORES!D$5:Q$5),"YES","NO"))</f>
        <v/>
      </c>
      <c r="V32" s="8"/>
    </row>
    <row r="33" spans="1:22" ht="14.4">
      <c r="A33" s="1">
        <v>28</v>
      </c>
      <c r="B33" s="1" t="str">
        <f>IF('STUDENT LIST'!B32="","",'STUDENT LIST'!B32)</f>
        <v/>
      </c>
      <c r="C33" s="1" t="str">
        <f>IF('STUDENT LIST'!F32="","",'STUDENT LIST'!F32)</f>
        <v/>
      </c>
      <c r="D33" s="12" t="str">
        <f>IF(B33="","",ATTENDANCE!AK33)</f>
        <v/>
      </c>
      <c r="E33" s="12" t="str">
        <f>IF(D33="","",D33*SETTINGS!$E$5/100)</f>
        <v/>
      </c>
      <c r="F33" s="12" t="str">
        <f>IF(B33="","",IF(SUM(SCORES!D$5:H$5)=0,"",SUM(SCORES!D33:H33)/SUM(SCORES!D$5:H$5)*100))</f>
        <v/>
      </c>
      <c r="G33" s="12" t="str">
        <f>IF(F33="","",F33*SETTINGS!$E$6/100)</f>
        <v/>
      </c>
      <c r="H33" s="12" t="str">
        <f>IF(B33="","",IF(SUM(SCORES!I$5:M$5)=0,"",SUM(SCORES!I33:M33)/SUM(SCORES!I$5:M$5)*100))</f>
        <v/>
      </c>
      <c r="I33" s="12" t="str">
        <f>IF(H33="","",H33*SETTINGS!$E$7/100)</f>
        <v/>
      </c>
      <c r="J33" s="12" t="str">
        <f>IF(B33="","",IF(SUM(SCORES!N$5:O$5)=0,"",SUM(SCORES!N33:O33)/SUM(SCORES!N$5:O$5)*100))</f>
        <v/>
      </c>
      <c r="K33" s="12" t="str">
        <f>IF(J33="","",J33*SETTINGS!$E$8/100)</f>
        <v/>
      </c>
      <c r="L33" s="12" t="str">
        <f>IF(B33="","",IF(SCORES!P$5=0,"",SCORES!P33/SCORES!P$5*100))</f>
        <v/>
      </c>
      <c r="M33" s="12" t="str">
        <f>IF(L33="","",L33*SETTINGS!$E$9/100)</f>
        <v/>
      </c>
      <c r="N33" s="12" t="str">
        <f>IF(B33="","",IF(SCORES!Q$5=0,"",SCORES!Q33/SCORES!Q$5*100))</f>
        <v/>
      </c>
      <c r="O33" s="12" t="str">
        <f>IF(N33="","",N33*SETTINGS!$E$10/100)</f>
        <v/>
      </c>
      <c r="P33" s="12" t="str">
        <f t="shared" si="0"/>
        <v/>
      </c>
      <c r="Q33" s="12" t="str">
        <f t="shared" si="1"/>
        <v/>
      </c>
      <c r="R33" s="9" t="str">
        <f>IF(B33="","",IF(U33="YES","INCOMPLETE",IF(T33="Attendance Warning","FAILED - ATTENDANCE",IF(P33&gt;=SETTINGS!$B$11,"PASSED","FAILED"))))</f>
        <v/>
      </c>
      <c r="S33" s="15" t="str">
        <f t="shared" si="2"/>
        <v/>
      </c>
      <c r="T33" s="9" t="str">
        <f>IF(B33="","",ATTENDANCE!AL33)</f>
        <v/>
      </c>
      <c r="U33" s="9" t="str">
        <f>IF(B33="","",IF(COUNT(SCORES!D33:Q33)&lt;COUNT(SCORES!D$5:Q$5),"YES","NO"))</f>
        <v/>
      </c>
      <c r="V33" s="8"/>
    </row>
    <row r="34" spans="1:22" ht="14.4">
      <c r="A34" s="1">
        <v>29</v>
      </c>
      <c r="B34" s="1" t="str">
        <f>IF('STUDENT LIST'!B33="","",'STUDENT LIST'!B33)</f>
        <v/>
      </c>
      <c r="C34" s="1" t="str">
        <f>IF('STUDENT LIST'!F33="","",'STUDENT LIST'!F33)</f>
        <v/>
      </c>
      <c r="D34" s="12" t="str">
        <f>IF(B34="","",ATTENDANCE!AK34)</f>
        <v/>
      </c>
      <c r="E34" s="12" t="str">
        <f>IF(D34="","",D34*SETTINGS!$E$5/100)</f>
        <v/>
      </c>
      <c r="F34" s="12" t="str">
        <f>IF(B34="","",IF(SUM(SCORES!D$5:H$5)=0,"",SUM(SCORES!D34:H34)/SUM(SCORES!D$5:H$5)*100))</f>
        <v/>
      </c>
      <c r="G34" s="12" t="str">
        <f>IF(F34="","",F34*SETTINGS!$E$6/100)</f>
        <v/>
      </c>
      <c r="H34" s="12" t="str">
        <f>IF(B34="","",IF(SUM(SCORES!I$5:M$5)=0,"",SUM(SCORES!I34:M34)/SUM(SCORES!I$5:M$5)*100))</f>
        <v/>
      </c>
      <c r="I34" s="12" t="str">
        <f>IF(H34="","",H34*SETTINGS!$E$7/100)</f>
        <v/>
      </c>
      <c r="J34" s="12" t="str">
        <f>IF(B34="","",IF(SUM(SCORES!N$5:O$5)=0,"",SUM(SCORES!N34:O34)/SUM(SCORES!N$5:O$5)*100))</f>
        <v/>
      </c>
      <c r="K34" s="12" t="str">
        <f>IF(J34="","",J34*SETTINGS!$E$8/100)</f>
        <v/>
      </c>
      <c r="L34" s="12" t="str">
        <f>IF(B34="","",IF(SCORES!P$5=0,"",SCORES!P34/SCORES!P$5*100))</f>
        <v/>
      </c>
      <c r="M34" s="12" t="str">
        <f>IF(L34="","",L34*SETTINGS!$E$9/100)</f>
        <v/>
      </c>
      <c r="N34" s="12" t="str">
        <f>IF(B34="","",IF(SCORES!Q$5=0,"",SCORES!Q34/SCORES!Q$5*100))</f>
        <v/>
      </c>
      <c r="O34" s="12" t="str">
        <f>IF(N34="","",N34*SETTINGS!$E$10/100)</f>
        <v/>
      </c>
      <c r="P34" s="12" t="str">
        <f t="shared" si="0"/>
        <v/>
      </c>
      <c r="Q34" s="12" t="str">
        <f t="shared" si="1"/>
        <v/>
      </c>
      <c r="R34" s="9" t="str">
        <f>IF(B34="","",IF(U34="YES","INCOMPLETE",IF(T34="Attendance Warning","FAILED - ATTENDANCE",IF(P34&gt;=SETTINGS!$B$11,"PASSED","FAILED"))))</f>
        <v/>
      </c>
      <c r="S34" s="15" t="str">
        <f t="shared" si="2"/>
        <v/>
      </c>
      <c r="T34" s="9" t="str">
        <f>IF(B34="","",ATTENDANCE!AL34)</f>
        <v/>
      </c>
      <c r="U34" s="9" t="str">
        <f>IF(B34="","",IF(COUNT(SCORES!D34:Q34)&lt;COUNT(SCORES!D$5:Q$5),"YES","NO"))</f>
        <v/>
      </c>
      <c r="V34" s="8"/>
    </row>
    <row r="35" spans="1:22" ht="14.4">
      <c r="A35" s="1">
        <v>30</v>
      </c>
      <c r="B35" s="1" t="str">
        <f>IF('STUDENT LIST'!B34="","",'STUDENT LIST'!B34)</f>
        <v/>
      </c>
      <c r="C35" s="1" t="str">
        <f>IF('STUDENT LIST'!F34="","",'STUDENT LIST'!F34)</f>
        <v/>
      </c>
      <c r="D35" s="12" t="str">
        <f>IF(B35="","",ATTENDANCE!AK35)</f>
        <v/>
      </c>
      <c r="E35" s="12" t="str">
        <f>IF(D35="","",D35*SETTINGS!$E$5/100)</f>
        <v/>
      </c>
      <c r="F35" s="12" t="str">
        <f>IF(B35="","",IF(SUM(SCORES!D$5:H$5)=0,"",SUM(SCORES!D35:H35)/SUM(SCORES!D$5:H$5)*100))</f>
        <v/>
      </c>
      <c r="G35" s="12" t="str">
        <f>IF(F35="","",F35*SETTINGS!$E$6/100)</f>
        <v/>
      </c>
      <c r="H35" s="12" t="str">
        <f>IF(B35="","",IF(SUM(SCORES!I$5:M$5)=0,"",SUM(SCORES!I35:M35)/SUM(SCORES!I$5:M$5)*100))</f>
        <v/>
      </c>
      <c r="I35" s="12" t="str">
        <f>IF(H35="","",H35*SETTINGS!$E$7/100)</f>
        <v/>
      </c>
      <c r="J35" s="12" t="str">
        <f>IF(B35="","",IF(SUM(SCORES!N$5:O$5)=0,"",SUM(SCORES!N35:O35)/SUM(SCORES!N$5:O$5)*100))</f>
        <v/>
      </c>
      <c r="K35" s="12" t="str">
        <f>IF(J35="","",J35*SETTINGS!$E$8/100)</f>
        <v/>
      </c>
      <c r="L35" s="12" t="str">
        <f>IF(B35="","",IF(SCORES!P$5=0,"",SCORES!P35/SCORES!P$5*100))</f>
        <v/>
      </c>
      <c r="M35" s="12" t="str">
        <f>IF(L35="","",L35*SETTINGS!$E$9/100)</f>
        <v/>
      </c>
      <c r="N35" s="12" t="str">
        <f>IF(B35="","",IF(SCORES!Q$5=0,"",SCORES!Q35/SCORES!Q$5*100))</f>
        <v/>
      </c>
      <c r="O35" s="12" t="str">
        <f>IF(N35="","",N35*SETTINGS!$E$10/100)</f>
        <v/>
      </c>
      <c r="P35" s="12" t="str">
        <f t="shared" si="0"/>
        <v/>
      </c>
      <c r="Q35" s="12" t="str">
        <f t="shared" si="1"/>
        <v/>
      </c>
      <c r="R35" s="9" t="str">
        <f>IF(B35="","",IF(U35="YES","INCOMPLETE",IF(T35="Attendance Warning","FAILED - ATTENDANCE",IF(P35&gt;=SETTINGS!$B$11,"PASSED","FAILED"))))</f>
        <v/>
      </c>
      <c r="S35" s="15" t="str">
        <f t="shared" si="2"/>
        <v/>
      </c>
      <c r="T35" s="9" t="str">
        <f>IF(B35="","",ATTENDANCE!AL35)</f>
        <v/>
      </c>
      <c r="U35" s="9" t="str">
        <f>IF(B35="","",IF(COUNT(SCORES!D35:Q35)&lt;COUNT(SCORES!D$5:Q$5),"YES","NO"))</f>
        <v/>
      </c>
      <c r="V35" s="8"/>
    </row>
    <row r="36" spans="1:22" ht="14.4">
      <c r="A36" s="1">
        <v>31</v>
      </c>
      <c r="B36" s="1" t="str">
        <f>IF('STUDENT LIST'!B35="","",'STUDENT LIST'!B35)</f>
        <v/>
      </c>
      <c r="C36" s="1" t="str">
        <f>IF('STUDENT LIST'!F35="","",'STUDENT LIST'!F35)</f>
        <v/>
      </c>
      <c r="D36" s="12" t="str">
        <f>IF(B36="","",ATTENDANCE!AK36)</f>
        <v/>
      </c>
      <c r="E36" s="12" t="str">
        <f>IF(D36="","",D36*SETTINGS!$E$5/100)</f>
        <v/>
      </c>
      <c r="F36" s="12" t="str">
        <f>IF(B36="","",IF(SUM(SCORES!D$5:H$5)=0,"",SUM(SCORES!D36:H36)/SUM(SCORES!D$5:H$5)*100))</f>
        <v/>
      </c>
      <c r="G36" s="12" t="str">
        <f>IF(F36="","",F36*SETTINGS!$E$6/100)</f>
        <v/>
      </c>
      <c r="H36" s="12" t="str">
        <f>IF(B36="","",IF(SUM(SCORES!I$5:M$5)=0,"",SUM(SCORES!I36:M36)/SUM(SCORES!I$5:M$5)*100))</f>
        <v/>
      </c>
      <c r="I36" s="12" t="str">
        <f>IF(H36="","",H36*SETTINGS!$E$7/100)</f>
        <v/>
      </c>
      <c r="J36" s="12" t="str">
        <f>IF(B36="","",IF(SUM(SCORES!N$5:O$5)=0,"",SUM(SCORES!N36:O36)/SUM(SCORES!N$5:O$5)*100))</f>
        <v/>
      </c>
      <c r="K36" s="12" t="str">
        <f>IF(J36="","",J36*SETTINGS!$E$8/100)</f>
        <v/>
      </c>
      <c r="L36" s="12" t="str">
        <f>IF(B36="","",IF(SCORES!P$5=0,"",SCORES!P36/SCORES!P$5*100))</f>
        <v/>
      </c>
      <c r="M36" s="12" t="str">
        <f>IF(L36="","",L36*SETTINGS!$E$9/100)</f>
        <v/>
      </c>
      <c r="N36" s="12" t="str">
        <f>IF(B36="","",IF(SCORES!Q$5=0,"",SCORES!Q36/SCORES!Q$5*100))</f>
        <v/>
      </c>
      <c r="O36" s="12" t="str">
        <f>IF(N36="","",N36*SETTINGS!$E$10/100)</f>
        <v/>
      </c>
      <c r="P36" s="12" t="str">
        <f t="shared" si="0"/>
        <v/>
      </c>
      <c r="Q36" s="12" t="str">
        <f t="shared" si="1"/>
        <v/>
      </c>
      <c r="R36" s="9" t="str">
        <f>IF(B36="","",IF(U36="YES","INCOMPLETE",IF(T36="Attendance Warning","FAILED - ATTENDANCE",IF(P36&gt;=SETTINGS!$B$11,"PASSED","FAILED"))))</f>
        <v/>
      </c>
      <c r="S36" s="15" t="str">
        <f t="shared" si="2"/>
        <v/>
      </c>
      <c r="T36" s="9" t="str">
        <f>IF(B36="","",ATTENDANCE!AL36)</f>
        <v/>
      </c>
      <c r="U36" s="9" t="str">
        <f>IF(B36="","",IF(COUNT(SCORES!D36:Q36)&lt;COUNT(SCORES!D$5:Q$5),"YES","NO"))</f>
        <v/>
      </c>
      <c r="V36" s="8"/>
    </row>
    <row r="37" spans="1:22" ht="14.4">
      <c r="A37" s="1">
        <v>32</v>
      </c>
      <c r="B37" s="1" t="str">
        <f>IF('STUDENT LIST'!B36="","",'STUDENT LIST'!B36)</f>
        <v/>
      </c>
      <c r="C37" s="1" t="str">
        <f>IF('STUDENT LIST'!F36="","",'STUDENT LIST'!F36)</f>
        <v/>
      </c>
      <c r="D37" s="12" t="str">
        <f>IF(B37="","",ATTENDANCE!AK37)</f>
        <v/>
      </c>
      <c r="E37" s="12" t="str">
        <f>IF(D37="","",D37*SETTINGS!$E$5/100)</f>
        <v/>
      </c>
      <c r="F37" s="12" t="str">
        <f>IF(B37="","",IF(SUM(SCORES!D$5:H$5)=0,"",SUM(SCORES!D37:H37)/SUM(SCORES!D$5:H$5)*100))</f>
        <v/>
      </c>
      <c r="G37" s="12" t="str">
        <f>IF(F37="","",F37*SETTINGS!$E$6/100)</f>
        <v/>
      </c>
      <c r="H37" s="12" t="str">
        <f>IF(B37="","",IF(SUM(SCORES!I$5:M$5)=0,"",SUM(SCORES!I37:M37)/SUM(SCORES!I$5:M$5)*100))</f>
        <v/>
      </c>
      <c r="I37" s="12" t="str">
        <f>IF(H37="","",H37*SETTINGS!$E$7/100)</f>
        <v/>
      </c>
      <c r="J37" s="12" t="str">
        <f>IF(B37="","",IF(SUM(SCORES!N$5:O$5)=0,"",SUM(SCORES!N37:O37)/SUM(SCORES!N$5:O$5)*100))</f>
        <v/>
      </c>
      <c r="K37" s="12" t="str">
        <f>IF(J37="","",J37*SETTINGS!$E$8/100)</f>
        <v/>
      </c>
      <c r="L37" s="12" t="str">
        <f>IF(B37="","",IF(SCORES!P$5=0,"",SCORES!P37/SCORES!P$5*100))</f>
        <v/>
      </c>
      <c r="M37" s="12" t="str">
        <f>IF(L37="","",L37*SETTINGS!$E$9/100)</f>
        <v/>
      </c>
      <c r="N37" s="12" t="str">
        <f>IF(B37="","",IF(SCORES!Q$5=0,"",SCORES!Q37/SCORES!Q$5*100))</f>
        <v/>
      </c>
      <c r="O37" s="12" t="str">
        <f>IF(N37="","",N37*SETTINGS!$E$10/100)</f>
        <v/>
      </c>
      <c r="P37" s="12" t="str">
        <f t="shared" si="0"/>
        <v/>
      </c>
      <c r="Q37" s="12" t="str">
        <f t="shared" si="1"/>
        <v/>
      </c>
      <c r="R37" s="9" t="str">
        <f>IF(B37="","",IF(U37="YES","INCOMPLETE",IF(T37="Attendance Warning","FAILED - ATTENDANCE",IF(P37&gt;=SETTINGS!$B$11,"PASSED","FAILED"))))</f>
        <v/>
      </c>
      <c r="S37" s="15" t="str">
        <f t="shared" si="2"/>
        <v/>
      </c>
      <c r="T37" s="9" t="str">
        <f>IF(B37="","",ATTENDANCE!AL37)</f>
        <v/>
      </c>
      <c r="U37" s="9" t="str">
        <f>IF(B37="","",IF(COUNT(SCORES!D37:Q37)&lt;COUNT(SCORES!D$5:Q$5),"YES","NO"))</f>
        <v/>
      </c>
      <c r="V37" s="8"/>
    </row>
    <row r="38" spans="1:22" ht="14.4">
      <c r="A38" s="1">
        <v>33</v>
      </c>
      <c r="B38" s="1" t="str">
        <f>IF('STUDENT LIST'!B37="","",'STUDENT LIST'!B37)</f>
        <v/>
      </c>
      <c r="C38" s="1" t="str">
        <f>IF('STUDENT LIST'!F37="","",'STUDENT LIST'!F37)</f>
        <v/>
      </c>
      <c r="D38" s="12" t="str">
        <f>IF(B38="","",ATTENDANCE!AK38)</f>
        <v/>
      </c>
      <c r="E38" s="12" t="str">
        <f>IF(D38="","",D38*SETTINGS!$E$5/100)</f>
        <v/>
      </c>
      <c r="F38" s="12" t="str">
        <f>IF(B38="","",IF(SUM(SCORES!D$5:H$5)=0,"",SUM(SCORES!D38:H38)/SUM(SCORES!D$5:H$5)*100))</f>
        <v/>
      </c>
      <c r="G38" s="12" t="str">
        <f>IF(F38="","",F38*SETTINGS!$E$6/100)</f>
        <v/>
      </c>
      <c r="H38" s="12" t="str">
        <f>IF(B38="","",IF(SUM(SCORES!I$5:M$5)=0,"",SUM(SCORES!I38:M38)/SUM(SCORES!I$5:M$5)*100))</f>
        <v/>
      </c>
      <c r="I38" s="12" t="str">
        <f>IF(H38="","",H38*SETTINGS!$E$7/100)</f>
        <v/>
      </c>
      <c r="J38" s="12" t="str">
        <f>IF(B38="","",IF(SUM(SCORES!N$5:O$5)=0,"",SUM(SCORES!N38:O38)/SUM(SCORES!N$5:O$5)*100))</f>
        <v/>
      </c>
      <c r="K38" s="12" t="str">
        <f>IF(J38="","",J38*SETTINGS!$E$8/100)</f>
        <v/>
      </c>
      <c r="L38" s="12" t="str">
        <f>IF(B38="","",IF(SCORES!P$5=0,"",SCORES!P38/SCORES!P$5*100))</f>
        <v/>
      </c>
      <c r="M38" s="12" t="str">
        <f>IF(L38="","",L38*SETTINGS!$E$9/100)</f>
        <v/>
      </c>
      <c r="N38" s="12" t="str">
        <f>IF(B38="","",IF(SCORES!Q$5=0,"",SCORES!Q38/SCORES!Q$5*100))</f>
        <v/>
      </c>
      <c r="O38" s="12" t="str">
        <f>IF(N38="","",N38*SETTINGS!$E$10/100)</f>
        <v/>
      </c>
      <c r="P38" s="12" t="str">
        <f t="shared" ref="P38:P55" si="3">IF(B38="","",SUM(E38,G38,I38,K38,M38,O38))</f>
        <v/>
      </c>
      <c r="Q38" s="12" t="str">
        <f t="shared" ref="Q38:Q55" si="4">IF(B38="","",IF(P38&gt;=97,1,IF(P38&gt;=94,1.25,IF(P38&gt;=91,1.5,IF(P38&gt;=88,1.75,IF(P38&gt;=85,2,IF(P38&gt;=82,2.25,IF(P38&gt;=79,2.5,IF(P38&gt;=76,2.75,IF(P38&gt;=75,3,IF(P38&gt;=65,4,5)))))))))))</f>
        <v/>
      </c>
      <c r="R38" s="9" t="str">
        <f>IF(B38="","",IF(U38="YES","INCOMPLETE",IF(T38="Attendance Warning","FAILED - ATTENDANCE",IF(P38&gt;=SETTINGS!$B$11,"PASSED","FAILED"))))</f>
        <v/>
      </c>
      <c r="S38" s="15" t="str">
        <f t="shared" ref="S38:S55" si="5">IF(OR(B38="",U38="YES"),"",COUNTIF($P$6:$P$55,"&gt;"&amp;P38)+1)</f>
        <v/>
      </c>
      <c r="T38" s="9" t="str">
        <f>IF(B38="","",ATTENDANCE!AL38)</f>
        <v/>
      </c>
      <c r="U38" s="9" t="str">
        <f>IF(B38="","",IF(COUNT(SCORES!D38:Q38)&lt;COUNT(SCORES!D$5:Q$5),"YES","NO"))</f>
        <v/>
      </c>
      <c r="V38" s="8"/>
    </row>
    <row r="39" spans="1:22" ht="14.4">
      <c r="A39" s="1">
        <v>34</v>
      </c>
      <c r="B39" s="1" t="str">
        <f>IF('STUDENT LIST'!B38="","",'STUDENT LIST'!B38)</f>
        <v/>
      </c>
      <c r="C39" s="1" t="str">
        <f>IF('STUDENT LIST'!F38="","",'STUDENT LIST'!F38)</f>
        <v/>
      </c>
      <c r="D39" s="12" t="str">
        <f>IF(B39="","",ATTENDANCE!AK39)</f>
        <v/>
      </c>
      <c r="E39" s="12" t="str">
        <f>IF(D39="","",D39*SETTINGS!$E$5/100)</f>
        <v/>
      </c>
      <c r="F39" s="12" t="str">
        <f>IF(B39="","",IF(SUM(SCORES!D$5:H$5)=0,"",SUM(SCORES!D39:H39)/SUM(SCORES!D$5:H$5)*100))</f>
        <v/>
      </c>
      <c r="G39" s="12" t="str">
        <f>IF(F39="","",F39*SETTINGS!$E$6/100)</f>
        <v/>
      </c>
      <c r="H39" s="12" t="str">
        <f>IF(B39="","",IF(SUM(SCORES!I$5:M$5)=0,"",SUM(SCORES!I39:M39)/SUM(SCORES!I$5:M$5)*100))</f>
        <v/>
      </c>
      <c r="I39" s="12" t="str">
        <f>IF(H39="","",H39*SETTINGS!$E$7/100)</f>
        <v/>
      </c>
      <c r="J39" s="12" t="str">
        <f>IF(B39="","",IF(SUM(SCORES!N$5:O$5)=0,"",SUM(SCORES!N39:O39)/SUM(SCORES!N$5:O$5)*100))</f>
        <v/>
      </c>
      <c r="K39" s="12" t="str">
        <f>IF(J39="","",J39*SETTINGS!$E$8/100)</f>
        <v/>
      </c>
      <c r="L39" s="12" t="str">
        <f>IF(B39="","",IF(SCORES!P$5=0,"",SCORES!P39/SCORES!P$5*100))</f>
        <v/>
      </c>
      <c r="M39" s="12" t="str">
        <f>IF(L39="","",L39*SETTINGS!$E$9/100)</f>
        <v/>
      </c>
      <c r="N39" s="12" t="str">
        <f>IF(B39="","",IF(SCORES!Q$5=0,"",SCORES!Q39/SCORES!Q$5*100))</f>
        <v/>
      </c>
      <c r="O39" s="12" t="str">
        <f>IF(N39="","",N39*SETTINGS!$E$10/100)</f>
        <v/>
      </c>
      <c r="P39" s="12" t="str">
        <f t="shared" si="3"/>
        <v/>
      </c>
      <c r="Q39" s="12" t="str">
        <f t="shared" si="4"/>
        <v/>
      </c>
      <c r="R39" s="9" t="str">
        <f>IF(B39="","",IF(U39="YES","INCOMPLETE",IF(T39="Attendance Warning","FAILED - ATTENDANCE",IF(P39&gt;=SETTINGS!$B$11,"PASSED","FAILED"))))</f>
        <v/>
      </c>
      <c r="S39" s="15" t="str">
        <f t="shared" si="5"/>
        <v/>
      </c>
      <c r="T39" s="9" t="str">
        <f>IF(B39="","",ATTENDANCE!AL39)</f>
        <v/>
      </c>
      <c r="U39" s="9" t="str">
        <f>IF(B39="","",IF(COUNT(SCORES!D39:Q39)&lt;COUNT(SCORES!D$5:Q$5),"YES","NO"))</f>
        <v/>
      </c>
      <c r="V39" s="8"/>
    </row>
    <row r="40" spans="1:22" ht="14.4">
      <c r="A40" s="1">
        <v>35</v>
      </c>
      <c r="B40" s="1" t="str">
        <f>IF('STUDENT LIST'!B39="","",'STUDENT LIST'!B39)</f>
        <v/>
      </c>
      <c r="C40" s="1" t="str">
        <f>IF('STUDENT LIST'!F39="","",'STUDENT LIST'!F39)</f>
        <v/>
      </c>
      <c r="D40" s="12" t="str">
        <f>IF(B40="","",ATTENDANCE!AK40)</f>
        <v/>
      </c>
      <c r="E40" s="12" t="str">
        <f>IF(D40="","",D40*SETTINGS!$E$5/100)</f>
        <v/>
      </c>
      <c r="F40" s="12" t="str">
        <f>IF(B40="","",IF(SUM(SCORES!D$5:H$5)=0,"",SUM(SCORES!D40:H40)/SUM(SCORES!D$5:H$5)*100))</f>
        <v/>
      </c>
      <c r="G40" s="12" t="str">
        <f>IF(F40="","",F40*SETTINGS!$E$6/100)</f>
        <v/>
      </c>
      <c r="H40" s="12" t="str">
        <f>IF(B40="","",IF(SUM(SCORES!I$5:M$5)=0,"",SUM(SCORES!I40:M40)/SUM(SCORES!I$5:M$5)*100))</f>
        <v/>
      </c>
      <c r="I40" s="12" t="str">
        <f>IF(H40="","",H40*SETTINGS!$E$7/100)</f>
        <v/>
      </c>
      <c r="J40" s="12" t="str">
        <f>IF(B40="","",IF(SUM(SCORES!N$5:O$5)=0,"",SUM(SCORES!N40:O40)/SUM(SCORES!N$5:O$5)*100))</f>
        <v/>
      </c>
      <c r="K40" s="12" t="str">
        <f>IF(J40="","",J40*SETTINGS!$E$8/100)</f>
        <v/>
      </c>
      <c r="L40" s="12" t="str">
        <f>IF(B40="","",IF(SCORES!P$5=0,"",SCORES!P40/SCORES!P$5*100))</f>
        <v/>
      </c>
      <c r="M40" s="12" t="str">
        <f>IF(L40="","",L40*SETTINGS!$E$9/100)</f>
        <v/>
      </c>
      <c r="N40" s="12" t="str">
        <f>IF(B40="","",IF(SCORES!Q$5=0,"",SCORES!Q40/SCORES!Q$5*100))</f>
        <v/>
      </c>
      <c r="O40" s="12" t="str">
        <f>IF(N40="","",N40*SETTINGS!$E$10/100)</f>
        <v/>
      </c>
      <c r="P40" s="12" t="str">
        <f t="shared" si="3"/>
        <v/>
      </c>
      <c r="Q40" s="12" t="str">
        <f t="shared" si="4"/>
        <v/>
      </c>
      <c r="R40" s="9" t="str">
        <f>IF(B40="","",IF(U40="YES","INCOMPLETE",IF(T40="Attendance Warning","FAILED - ATTENDANCE",IF(P40&gt;=SETTINGS!$B$11,"PASSED","FAILED"))))</f>
        <v/>
      </c>
      <c r="S40" s="15" t="str">
        <f t="shared" si="5"/>
        <v/>
      </c>
      <c r="T40" s="9" t="str">
        <f>IF(B40="","",ATTENDANCE!AL40)</f>
        <v/>
      </c>
      <c r="U40" s="9" t="str">
        <f>IF(B40="","",IF(COUNT(SCORES!D40:Q40)&lt;COUNT(SCORES!D$5:Q$5),"YES","NO"))</f>
        <v/>
      </c>
      <c r="V40" s="8"/>
    </row>
    <row r="41" spans="1:22" ht="14.4">
      <c r="A41" s="1">
        <v>36</v>
      </c>
      <c r="B41" s="1" t="str">
        <f>IF('STUDENT LIST'!B40="","",'STUDENT LIST'!B40)</f>
        <v/>
      </c>
      <c r="C41" s="1" t="str">
        <f>IF('STUDENT LIST'!F40="","",'STUDENT LIST'!F40)</f>
        <v/>
      </c>
      <c r="D41" s="12" t="str">
        <f>IF(B41="","",ATTENDANCE!AK41)</f>
        <v/>
      </c>
      <c r="E41" s="12" t="str">
        <f>IF(D41="","",D41*SETTINGS!$E$5/100)</f>
        <v/>
      </c>
      <c r="F41" s="12" t="str">
        <f>IF(B41="","",IF(SUM(SCORES!D$5:H$5)=0,"",SUM(SCORES!D41:H41)/SUM(SCORES!D$5:H$5)*100))</f>
        <v/>
      </c>
      <c r="G41" s="12" t="str">
        <f>IF(F41="","",F41*SETTINGS!$E$6/100)</f>
        <v/>
      </c>
      <c r="H41" s="12" t="str">
        <f>IF(B41="","",IF(SUM(SCORES!I$5:M$5)=0,"",SUM(SCORES!I41:M41)/SUM(SCORES!I$5:M$5)*100))</f>
        <v/>
      </c>
      <c r="I41" s="12" t="str">
        <f>IF(H41="","",H41*SETTINGS!$E$7/100)</f>
        <v/>
      </c>
      <c r="J41" s="12" t="str">
        <f>IF(B41="","",IF(SUM(SCORES!N$5:O$5)=0,"",SUM(SCORES!N41:O41)/SUM(SCORES!N$5:O$5)*100))</f>
        <v/>
      </c>
      <c r="K41" s="12" t="str">
        <f>IF(J41="","",J41*SETTINGS!$E$8/100)</f>
        <v/>
      </c>
      <c r="L41" s="12" t="str">
        <f>IF(B41="","",IF(SCORES!P$5=0,"",SCORES!P41/SCORES!P$5*100))</f>
        <v/>
      </c>
      <c r="M41" s="12" t="str">
        <f>IF(L41="","",L41*SETTINGS!$E$9/100)</f>
        <v/>
      </c>
      <c r="N41" s="12" t="str">
        <f>IF(B41="","",IF(SCORES!Q$5=0,"",SCORES!Q41/SCORES!Q$5*100))</f>
        <v/>
      </c>
      <c r="O41" s="12" t="str">
        <f>IF(N41="","",N41*SETTINGS!$E$10/100)</f>
        <v/>
      </c>
      <c r="P41" s="12" t="str">
        <f t="shared" si="3"/>
        <v/>
      </c>
      <c r="Q41" s="12" t="str">
        <f t="shared" si="4"/>
        <v/>
      </c>
      <c r="R41" s="9" t="str">
        <f>IF(B41="","",IF(U41="YES","INCOMPLETE",IF(T41="Attendance Warning","FAILED - ATTENDANCE",IF(P41&gt;=SETTINGS!$B$11,"PASSED","FAILED"))))</f>
        <v/>
      </c>
      <c r="S41" s="15" t="str">
        <f t="shared" si="5"/>
        <v/>
      </c>
      <c r="T41" s="9" t="str">
        <f>IF(B41="","",ATTENDANCE!AL41)</f>
        <v/>
      </c>
      <c r="U41" s="9" t="str">
        <f>IF(B41="","",IF(COUNT(SCORES!D41:Q41)&lt;COUNT(SCORES!D$5:Q$5),"YES","NO"))</f>
        <v/>
      </c>
      <c r="V41" s="8"/>
    </row>
    <row r="42" spans="1:22" ht="14.4">
      <c r="A42" s="1">
        <v>37</v>
      </c>
      <c r="B42" s="1" t="str">
        <f>IF('STUDENT LIST'!B41="","",'STUDENT LIST'!B41)</f>
        <v/>
      </c>
      <c r="C42" s="1" t="str">
        <f>IF('STUDENT LIST'!F41="","",'STUDENT LIST'!F41)</f>
        <v/>
      </c>
      <c r="D42" s="12" t="str">
        <f>IF(B42="","",ATTENDANCE!AK42)</f>
        <v/>
      </c>
      <c r="E42" s="12" t="str">
        <f>IF(D42="","",D42*SETTINGS!$E$5/100)</f>
        <v/>
      </c>
      <c r="F42" s="12" t="str">
        <f>IF(B42="","",IF(SUM(SCORES!D$5:H$5)=0,"",SUM(SCORES!D42:H42)/SUM(SCORES!D$5:H$5)*100))</f>
        <v/>
      </c>
      <c r="G42" s="12" t="str">
        <f>IF(F42="","",F42*SETTINGS!$E$6/100)</f>
        <v/>
      </c>
      <c r="H42" s="12" t="str">
        <f>IF(B42="","",IF(SUM(SCORES!I$5:M$5)=0,"",SUM(SCORES!I42:M42)/SUM(SCORES!I$5:M$5)*100))</f>
        <v/>
      </c>
      <c r="I42" s="12" t="str">
        <f>IF(H42="","",H42*SETTINGS!$E$7/100)</f>
        <v/>
      </c>
      <c r="J42" s="12" t="str">
        <f>IF(B42="","",IF(SUM(SCORES!N$5:O$5)=0,"",SUM(SCORES!N42:O42)/SUM(SCORES!N$5:O$5)*100))</f>
        <v/>
      </c>
      <c r="K42" s="12" t="str">
        <f>IF(J42="","",J42*SETTINGS!$E$8/100)</f>
        <v/>
      </c>
      <c r="L42" s="12" t="str">
        <f>IF(B42="","",IF(SCORES!P$5=0,"",SCORES!P42/SCORES!P$5*100))</f>
        <v/>
      </c>
      <c r="M42" s="12" t="str">
        <f>IF(L42="","",L42*SETTINGS!$E$9/100)</f>
        <v/>
      </c>
      <c r="N42" s="12" t="str">
        <f>IF(B42="","",IF(SCORES!Q$5=0,"",SCORES!Q42/SCORES!Q$5*100))</f>
        <v/>
      </c>
      <c r="O42" s="12" t="str">
        <f>IF(N42="","",N42*SETTINGS!$E$10/100)</f>
        <v/>
      </c>
      <c r="P42" s="12" t="str">
        <f t="shared" si="3"/>
        <v/>
      </c>
      <c r="Q42" s="12" t="str">
        <f t="shared" si="4"/>
        <v/>
      </c>
      <c r="R42" s="9" t="str">
        <f>IF(B42="","",IF(U42="YES","INCOMPLETE",IF(T42="Attendance Warning","FAILED - ATTENDANCE",IF(P42&gt;=SETTINGS!$B$11,"PASSED","FAILED"))))</f>
        <v/>
      </c>
      <c r="S42" s="15" t="str">
        <f t="shared" si="5"/>
        <v/>
      </c>
      <c r="T42" s="9" t="str">
        <f>IF(B42="","",ATTENDANCE!AL42)</f>
        <v/>
      </c>
      <c r="U42" s="9" t="str">
        <f>IF(B42="","",IF(COUNT(SCORES!D42:Q42)&lt;COUNT(SCORES!D$5:Q$5),"YES","NO"))</f>
        <v/>
      </c>
      <c r="V42" s="8"/>
    </row>
    <row r="43" spans="1:22" ht="14.4">
      <c r="A43" s="1">
        <v>38</v>
      </c>
      <c r="B43" s="1" t="str">
        <f>IF('STUDENT LIST'!B42="","",'STUDENT LIST'!B42)</f>
        <v/>
      </c>
      <c r="C43" s="1" t="str">
        <f>IF('STUDENT LIST'!F42="","",'STUDENT LIST'!F42)</f>
        <v/>
      </c>
      <c r="D43" s="12" t="str">
        <f>IF(B43="","",ATTENDANCE!AK43)</f>
        <v/>
      </c>
      <c r="E43" s="12" t="str">
        <f>IF(D43="","",D43*SETTINGS!$E$5/100)</f>
        <v/>
      </c>
      <c r="F43" s="12" t="str">
        <f>IF(B43="","",IF(SUM(SCORES!D$5:H$5)=0,"",SUM(SCORES!D43:H43)/SUM(SCORES!D$5:H$5)*100))</f>
        <v/>
      </c>
      <c r="G43" s="12" t="str">
        <f>IF(F43="","",F43*SETTINGS!$E$6/100)</f>
        <v/>
      </c>
      <c r="H43" s="12" t="str">
        <f>IF(B43="","",IF(SUM(SCORES!I$5:M$5)=0,"",SUM(SCORES!I43:M43)/SUM(SCORES!I$5:M$5)*100))</f>
        <v/>
      </c>
      <c r="I43" s="12" t="str">
        <f>IF(H43="","",H43*SETTINGS!$E$7/100)</f>
        <v/>
      </c>
      <c r="J43" s="12" t="str">
        <f>IF(B43="","",IF(SUM(SCORES!N$5:O$5)=0,"",SUM(SCORES!N43:O43)/SUM(SCORES!N$5:O$5)*100))</f>
        <v/>
      </c>
      <c r="K43" s="12" t="str">
        <f>IF(J43="","",J43*SETTINGS!$E$8/100)</f>
        <v/>
      </c>
      <c r="L43" s="12" t="str">
        <f>IF(B43="","",IF(SCORES!P$5=0,"",SCORES!P43/SCORES!P$5*100))</f>
        <v/>
      </c>
      <c r="M43" s="12" t="str">
        <f>IF(L43="","",L43*SETTINGS!$E$9/100)</f>
        <v/>
      </c>
      <c r="N43" s="12" t="str">
        <f>IF(B43="","",IF(SCORES!Q$5=0,"",SCORES!Q43/SCORES!Q$5*100))</f>
        <v/>
      </c>
      <c r="O43" s="12" t="str">
        <f>IF(N43="","",N43*SETTINGS!$E$10/100)</f>
        <v/>
      </c>
      <c r="P43" s="12" t="str">
        <f t="shared" si="3"/>
        <v/>
      </c>
      <c r="Q43" s="12" t="str">
        <f t="shared" si="4"/>
        <v/>
      </c>
      <c r="R43" s="9" t="str">
        <f>IF(B43="","",IF(U43="YES","INCOMPLETE",IF(T43="Attendance Warning","FAILED - ATTENDANCE",IF(P43&gt;=SETTINGS!$B$11,"PASSED","FAILED"))))</f>
        <v/>
      </c>
      <c r="S43" s="15" t="str">
        <f t="shared" si="5"/>
        <v/>
      </c>
      <c r="T43" s="9" t="str">
        <f>IF(B43="","",ATTENDANCE!AL43)</f>
        <v/>
      </c>
      <c r="U43" s="9" t="str">
        <f>IF(B43="","",IF(COUNT(SCORES!D43:Q43)&lt;COUNT(SCORES!D$5:Q$5),"YES","NO"))</f>
        <v/>
      </c>
      <c r="V43" s="8"/>
    </row>
    <row r="44" spans="1:22" ht="14.4">
      <c r="A44" s="1">
        <v>39</v>
      </c>
      <c r="B44" s="1" t="str">
        <f>IF('STUDENT LIST'!B43="","",'STUDENT LIST'!B43)</f>
        <v/>
      </c>
      <c r="C44" s="1" t="str">
        <f>IF('STUDENT LIST'!F43="","",'STUDENT LIST'!F43)</f>
        <v/>
      </c>
      <c r="D44" s="12" t="str">
        <f>IF(B44="","",ATTENDANCE!AK44)</f>
        <v/>
      </c>
      <c r="E44" s="12" t="str">
        <f>IF(D44="","",D44*SETTINGS!$E$5/100)</f>
        <v/>
      </c>
      <c r="F44" s="12" t="str">
        <f>IF(B44="","",IF(SUM(SCORES!D$5:H$5)=0,"",SUM(SCORES!D44:H44)/SUM(SCORES!D$5:H$5)*100))</f>
        <v/>
      </c>
      <c r="G44" s="12" t="str">
        <f>IF(F44="","",F44*SETTINGS!$E$6/100)</f>
        <v/>
      </c>
      <c r="H44" s="12" t="str">
        <f>IF(B44="","",IF(SUM(SCORES!I$5:M$5)=0,"",SUM(SCORES!I44:M44)/SUM(SCORES!I$5:M$5)*100))</f>
        <v/>
      </c>
      <c r="I44" s="12" t="str">
        <f>IF(H44="","",H44*SETTINGS!$E$7/100)</f>
        <v/>
      </c>
      <c r="J44" s="12" t="str">
        <f>IF(B44="","",IF(SUM(SCORES!N$5:O$5)=0,"",SUM(SCORES!N44:O44)/SUM(SCORES!N$5:O$5)*100))</f>
        <v/>
      </c>
      <c r="K44" s="12" t="str">
        <f>IF(J44="","",J44*SETTINGS!$E$8/100)</f>
        <v/>
      </c>
      <c r="L44" s="12" t="str">
        <f>IF(B44="","",IF(SCORES!P$5=0,"",SCORES!P44/SCORES!P$5*100))</f>
        <v/>
      </c>
      <c r="M44" s="12" t="str">
        <f>IF(L44="","",L44*SETTINGS!$E$9/100)</f>
        <v/>
      </c>
      <c r="N44" s="12" t="str">
        <f>IF(B44="","",IF(SCORES!Q$5=0,"",SCORES!Q44/SCORES!Q$5*100))</f>
        <v/>
      </c>
      <c r="O44" s="12" t="str">
        <f>IF(N44="","",N44*SETTINGS!$E$10/100)</f>
        <v/>
      </c>
      <c r="P44" s="12" t="str">
        <f t="shared" si="3"/>
        <v/>
      </c>
      <c r="Q44" s="12" t="str">
        <f t="shared" si="4"/>
        <v/>
      </c>
      <c r="R44" s="9" t="str">
        <f>IF(B44="","",IF(U44="YES","INCOMPLETE",IF(T44="Attendance Warning","FAILED - ATTENDANCE",IF(P44&gt;=SETTINGS!$B$11,"PASSED","FAILED"))))</f>
        <v/>
      </c>
      <c r="S44" s="15" t="str">
        <f t="shared" si="5"/>
        <v/>
      </c>
      <c r="T44" s="9" t="str">
        <f>IF(B44="","",ATTENDANCE!AL44)</f>
        <v/>
      </c>
      <c r="U44" s="9" t="str">
        <f>IF(B44="","",IF(COUNT(SCORES!D44:Q44)&lt;COUNT(SCORES!D$5:Q$5),"YES","NO"))</f>
        <v/>
      </c>
      <c r="V44" s="8"/>
    </row>
    <row r="45" spans="1:22" ht="14.4">
      <c r="A45" s="1">
        <v>40</v>
      </c>
      <c r="B45" s="1" t="str">
        <f>IF('STUDENT LIST'!B44="","",'STUDENT LIST'!B44)</f>
        <v/>
      </c>
      <c r="C45" s="1" t="str">
        <f>IF('STUDENT LIST'!F44="","",'STUDENT LIST'!F44)</f>
        <v/>
      </c>
      <c r="D45" s="12" t="str">
        <f>IF(B45="","",ATTENDANCE!AK45)</f>
        <v/>
      </c>
      <c r="E45" s="12" t="str">
        <f>IF(D45="","",D45*SETTINGS!$E$5/100)</f>
        <v/>
      </c>
      <c r="F45" s="12" t="str">
        <f>IF(B45="","",IF(SUM(SCORES!D$5:H$5)=0,"",SUM(SCORES!D45:H45)/SUM(SCORES!D$5:H$5)*100))</f>
        <v/>
      </c>
      <c r="G45" s="12" t="str">
        <f>IF(F45="","",F45*SETTINGS!$E$6/100)</f>
        <v/>
      </c>
      <c r="H45" s="12" t="str">
        <f>IF(B45="","",IF(SUM(SCORES!I$5:M$5)=0,"",SUM(SCORES!I45:M45)/SUM(SCORES!I$5:M$5)*100))</f>
        <v/>
      </c>
      <c r="I45" s="12" t="str">
        <f>IF(H45="","",H45*SETTINGS!$E$7/100)</f>
        <v/>
      </c>
      <c r="J45" s="12" t="str">
        <f>IF(B45="","",IF(SUM(SCORES!N$5:O$5)=0,"",SUM(SCORES!N45:O45)/SUM(SCORES!N$5:O$5)*100))</f>
        <v/>
      </c>
      <c r="K45" s="12" t="str">
        <f>IF(J45="","",J45*SETTINGS!$E$8/100)</f>
        <v/>
      </c>
      <c r="L45" s="12" t="str">
        <f>IF(B45="","",IF(SCORES!P$5=0,"",SCORES!P45/SCORES!P$5*100))</f>
        <v/>
      </c>
      <c r="M45" s="12" t="str">
        <f>IF(L45="","",L45*SETTINGS!$E$9/100)</f>
        <v/>
      </c>
      <c r="N45" s="12" t="str">
        <f>IF(B45="","",IF(SCORES!Q$5=0,"",SCORES!Q45/SCORES!Q$5*100))</f>
        <v/>
      </c>
      <c r="O45" s="12" t="str">
        <f>IF(N45="","",N45*SETTINGS!$E$10/100)</f>
        <v/>
      </c>
      <c r="P45" s="12" t="str">
        <f t="shared" si="3"/>
        <v/>
      </c>
      <c r="Q45" s="12" t="str">
        <f t="shared" si="4"/>
        <v/>
      </c>
      <c r="R45" s="9" t="str">
        <f>IF(B45="","",IF(U45="YES","INCOMPLETE",IF(T45="Attendance Warning","FAILED - ATTENDANCE",IF(P45&gt;=SETTINGS!$B$11,"PASSED","FAILED"))))</f>
        <v/>
      </c>
      <c r="S45" s="15" t="str">
        <f t="shared" si="5"/>
        <v/>
      </c>
      <c r="T45" s="9" t="str">
        <f>IF(B45="","",ATTENDANCE!AL45)</f>
        <v/>
      </c>
      <c r="U45" s="9" t="str">
        <f>IF(B45="","",IF(COUNT(SCORES!D45:Q45)&lt;COUNT(SCORES!D$5:Q$5),"YES","NO"))</f>
        <v/>
      </c>
      <c r="V45" s="8"/>
    </row>
    <row r="46" spans="1:22" ht="14.4">
      <c r="A46" s="1">
        <v>41</v>
      </c>
      <c r="B46" s="1" t="str">
        <f>IF('STUDENT LIST'!B45="","",'STUDENT LIST'!B45)</f>
        <v/>
      </c>
      <c r="C46" s="1" t="str">
        <f>IF('STUDENT LIST'!F45="","",'STUDENT LIST'!F45)</f>
        <v/>
      </c>
      <c r="D46" s="12" t="str">
        <f>IF(B46="","",ATTENDANCE!AK46)</f>
        <v/>
      </c>
      <c r="E46" s="12" t="str">
        <f>IF(D46="","",D46*SETTINGS!$E$5/100)</f>
        <v/>
      </c>
      <c r="F46" s="12" t="str">
        <f>IF(B46="","",IF(SUM(SCORES!D$5:H$5)=0,"",SUM(SCORES!D46:H46)/SUM(SCORES!D$5:H$5)*100))</f>
        <v/>
      </c>
      <c r="G46" s="12" t="str">
        <f>IF(F46="","",F46*SETTINGS!$E$6/100)</f>
        <v/>
      </c>
      <c r="H46" s="12" t="str">
        <f>IF(B46="","",IF(SUM(SCORES!I$5:M$5)=0,"",SUM(SCORES!I46:M46)/SUM(SCORES!I$5:M$5)*100))</f>
        <v/>
      </c>
      <c r="I46" s="12" t="str">
        <f>IF(H46="","",H46*SETTINGS!$E$7/100)</f>
        <v/>
      </c>
      <c r="J46" s="12" t="str">
        <f>IF(B46="","",IF(SUM(SCORES!N$5:O$5)=0,"",SUM(SCORES!N46:O46)/SUM(SCORES!N$5:O$5)*100))</f>
        <v/>
      </c>
      <c r="K46" s="12" t="str">
        <f>IF(J46="","",J46*SETTINGS!$E$8/100)</f>
        <v/>
      </c>
      <c r="L46" s="12" t="str">
        <f>IF(B46="","",IF(SCORES!P$5=0,"",SCORES!P46/SCORES!P$5*100))</f>
        <v/>
      </c>
      <c r="M46" s="12" t="str">
        <f>IF(L46="","",L46*SETTINGS!$E$9/100)</f>
        <v/>
      </c>
      <c r="N46" s="12" t="str">
        <f>IF(B46="","",IF(SCORES!Q$5=0,"",SCORES!Q46/SCORES!Q$5*100))</f>
        <v/>
      </c>
      <c r="O46" s="12" t="str">
        <f>IF(N46="","",N46*SETTINGS!$E$10/100)</f>
        <v/>
      </c>
      <c r="P46" s="12" t="str">
        <f t="shared" si="3"/>
        <v/>
      </c>
      <c r="Q46" s="12" t="str">
        <f t="shared" si="4"/>
        <v/>
      </c>
      <c r="R46" s="9" t="str">
        <f>IF(B46="","",IF(U46="YES","INCOMPLETE",IF(T46="Attendance Warning","FAILED - ATTENDANCE",IF(P46&gt;=SETTINGS!$B$11,"PASSED","FAILED"))))</f>
        <v/>
      </c>
      <c r="S46" s="15" t="str">
        <f t="shared" si="5"/>
        <v/>
      </c>
      <c r="T46" s="9" t="str">
        <f>IF(B46="","",ATTENDANCE!AL46)</f>
        <v/>
      </c>
      <c r="U46" s="9" t="str">
        <f>IF(B46="","",IF(COUNT(SCORES!D46:Q46)&lt;COUNT(SCORES!D$5:Q$5),"YES","NO"))</f>
        <v/>
      </c>
      <c r="V46" s="8"/>
    </row>
    <row r="47" spans="1:22" ht="14.4">
      <c r="A47" s="1">
        <v>42</v>
      </c>
      <c r="B47" s="1" t="str">
        <f>IF('STUDENT LIST'!B46="","",'STUDENT LIST'!B46)</f>
        <v/>
      </c>
      <c r="C47" s="1" t="str">
        <f>IF('STUDENT LIST'!F46="","",'STUDENT LIST'!F46)</f>
        <v/>
      </c>
      <c r="D47" s="12" t="str">
        <f>IF(B47="","",ATTENDANCE!AK47)</f>
        <v/>
      </c>
      <c r="E47" s="12" t="str">
        <f>IF(D47="","",D47*SETTINGS!$E$5/100)</f>
        <v/>
      </c>
      <c r="F47" s="12" t="str">
        <f>IF(B47="","",IF(SUM(SCORES!D$5:H$5)=0,"",SUM(SCORES!D47:H47)/SUM(SCORES!D$5:H$5)*100))</f>
        <v/>
      </c>
      <c r="G47" s="12" t="str">
        <f>IF(F47="","",F47*SETTINGS!$E$6/100)</f>
        <v/>
      </c>
      <c r="H47" s="12" t="str">
        <f>IF(B47="","",IF(SUM(SCORES!I$5:M$5)=0,"",SUM(SCORES!I47:M47)/SUM(SCORES!I$5:M$5)*100))</f>
        <v/>
      </c>
      <c r="I47" s="12" t="str">
        <f>IF(H47="","",H47*SETTINGS!$E$7/100)</f>
        <v/>
      </c>
      <c r="J47" s="12" t="str">
        <f>IF(B47="","",IF(SUM(SCORES!N$5:O$5)=0,"",SUM(SCORES!N47:O47)/SUM(SCORES!N$5:O$5)*100))</f>
        <v/>
      </c>
      <c r="K47" s="12" t="str">
        <f>IF(J47="","",J47*SETTINGS!$E$8/100)</f>
        <v/>
      </c>
      <c r="L47" s="12" t="str">
        <f>IF(B47="","",IF(SCORES!P$5=0,"",SCORES!P47/SCORES!P$5*100))</f>
        <v/>
      </c>
      <c r="M47" s="12" t="str">
        <f>IF(L47="","",L47*SETTINGS!$E$9/100)</f>
        <v/>
      </c>
      <c r="N47" s="12" t="str">
        <f>IF(B47="","",IF(SCORES!Q$5=0,"",SCORES!Q47/SCORES!Q$5*100))</f>
        <v/>
      </c>
      <c r="O47" s="12" t="str">
        <f>IF(N47="","",N47*SETTINGS!$E$10/100)</f>
        <v/>
      </c>
      <c r="P47" s="12" t="str">
        <f t="shared" si="3"/>
        <v/>
      </c>
      <c r="Q47" s="12" t="str">
        <f t="shared" si="4"/>
        <v/>
      </c>
      <c r="R47" s="9" t="str">
        <f>IF(B47="","",IF(U47="YES","INCOMPLETE",IF(T47="Attendance Warning","FAILED - ATTENDANCE",IF(P47&gt;=SETTINGS!$B$11,"PASSED","FAILED"))))</f>
        <v/>
      </c>
      <c r="S47" s="15" t="str">
        <f t="shared" si="5"/>
        <v/>
      </c>
      <c r="T47" s="9" t="str">
        <f>IF(B47="","",ATTENDANCE!AL47)</f>
        <v/>
      </c>
      <c r="U47" s="9" t="str">
        <f>IF(B47="","",IF(COUNT(SCORES!D47:Q47)&lt;COUNT(SCORES!D$5:Q$5),"YES","NO"))</f>
        <v/>
      </c>
      <c r="V47" s="8"/>
    </row>
    <row r="48" spans="1:22" ht="14.4">
      <c r="A48" s="1">
        <v>43</v>
      </c>
      <c r="B48" s="1" t="str">
        <f>IF('STUDENT LIST'!B47="","",'STUDENT LIST'!B47)</f>
        <v/>
      </c>
      <c r="C48" s="1" t="str">
        <f>IF('STUDENT LIST'!F47="","",'STUDENT LIST'!F47)</f>
        <v/>
      </c>
      <c r="D48" s="12" t="str">
        <f>IF(B48="","",ATTENDANCE!AK48)</f>
        <v/>
      </c>
      <c r="E48" s="12" t="str">
        <f>IF(D48="","",D48*SETTINGS!$E$5/100)</f>
        <v/>
      </c>
      <c r="F48" s="12" t="str">
        <f>IF(B48="","",IF(SUM(SCORES!D$5:H$5)=0,"",SUM(SCORES!D48:H48)/SUM(SCORES!D$5:H$5)*100))</f>
        <v/>
      </c>
      <c r="G48" s="12" t="str">
        <f>IF(F48="","",F48*SETTINGS!$E$6/100)</f>
        <v/>
      </c>
      <c r="H48" s="12" t="str">
        <f>IF(B48="","",IF(SUM(SCORES!I$5:M$5)=0,"",SUM(SCORES!I48:M48)/SUM(SCORES!I$5:M$5)*100))</f>
        <v/>
      </c>
      <c r="I48" s="12" t="str">
        <f>IF(H48="","",H48*SETTINGS!$E$7/100)</f>
        <v/>
      </c>
      <c r="J48" s="12" t="str">
        <f>IF(B48="","",IF(SUM(SCORES!N$5:O$5)=0,"",SUM(SCORES!N48:O48)/SUM(SCORES!N$5:O$5)*100))</f>
        <v/>
      </c>
      <c r="K48" s="12" t="str">
        <f>IF(J48="","",J48*SETTINGS!$E$8/100)</f>
        <v/>
      </c>
      <c r="L48" s="12" t="str">
        <f>IF(B48="","",IF(SCORES!P$5=0,"",SCORES!P48/SCORES!P$5*100))</f>
        <v/>
      </c>
      <c r="M48" s="12" t="str">
        <f>IF(L48="","",L48*SETTINGS!$E$9/100)</f>
        <v/>
      </c>
      <c r="N48" s="12" t="str">
        <f>IF(B48="","",IF(SCORES!Q$5=0,"",SCORES!Q48/SCORES!Q$5*100))</f>
        <v/>
      </c>
      <c r="O48" s="12" t="str">
        <f>IF(N48="","",N48*SETTINGS!$E$10/100)</f>
        <v/>
      </c>
      <c r="P48" s="12" t="str">
        <f t="shared" si="3"/>
        <v/>
      </c>
      <c r="Q48" s="12" t="str">
        <f t="shared" si="4"/>
        <v/>
      </c>
      <c r="R48" s="9" t="str">
        <f>IF(B48="","",IF(U48="YES","INCOMPLETE",IF(T48="Attendance Warning","FAILED - ATTENDANCE",IF(P48&gt;=SETTINGS!$B$11,"PASSED","FAILED"))))</f>
        <v/>
      </c>
      <c r="S48" s="15" t="str">
        <f t="shared" si="5"/>
        <v/>
      </c>
      <c r="T48" s="9" t="str">
        <f>IF(B48="","",ATTENDANCE!AL48)</f>
        <v/>
      </c>
      <c r="U48" s="9" t="str">
        <f>IF(B48="","",IF(COUNT(SCORES!D48:Q48)&lt;COUNT(SCORES!D$5:Q$5),"YES","NO"))</f>
        <v/>
      </c>
      <c r="V48" s="8"/>
    </row>
    <row r="49" spans="1:22" ht="14.4">
      <c r="A49" s="1">
        <v>44</v>
      </c>
      <c r="B49" s="1" t="str">
        <f>IF('STUDENT LIST'!B48="","",'STUDENT LIST'!B48)</f>
        <v/>
      </c>
      <c r="C49" s="1" t="str">
        <f>IF('STUDENT LIST'!F48="","",'STUDENT LIST'!F48)</f>
        <v/>
      </c>
      <c r="D49" s="12" t="str">
        <f>IF(B49="","",ATTENDANCE!AK49)</f>
        <v/>
      </c>
      <c r="E49" s="12" t="str">
        <f>IF(D49="","",D49*SETTINGS!$E$5/100)</f>
        <v/>
      </c>
      <c r="F49" s="12" t="str">
        <f>IF(B49="","",IF(SUM(SCORES!D$5:H$5)=0,"",SUM(SCORES!D49:H49)/SUM(SCORES!D$5:H$5)*100))</f>
        <v/>
      </c>
      <c r="G49" s="12" t="str">
        <f>IF(F49="","",F49*SETTINGS!$E$6/100)</f>
        <v/>
      </c>
      <c r="H49" s="12" t="str">
        <f>IF(B49="","",IF(SUM(SCORES!I$5:M$5)=0,"",SUM(SCORES!I49:M49)/SUM(SCORES!I$5:M$5)*100))</f>
        <v/>
      </c>
      <c r="I49" s="12" t="str">
        <f>IF(H49="","",H49*SETTINGS!$E$7/100)</f>
        <v/>
      </c>
      <c r="J49" s="12" t="str">
        <f>IF(B49="","",IF(SUM(SCORES!N$5:O$5)=0,"",SUM(SCORES!N49:O49)/SUM(SCORES!N$5:O$5)*100))</f>
        <v/>
      </c>
      <c r="K49" s="12" t="str">
        <f>IF(J49="","",J49*SETTINGS!$E$8/100)</f>
        <v/>
      </c>
      <c r="L49" s="12" t="str">
        <f>IF(B49="","",IF(SCORES!P$5=0,"",SCORES!P49/SCORES!P$5*100))</f>
        <v/>
      </c>
      <c r="M49" s="12" t="str">
        <f>IF(L49="","",L49*SETTINGS!$E$9/100)</f>
        <v/>
      </c>
      <c r="N49" s="12" t="str">
        <f>IF(B49="","",IF(SCORES!Q$5=0,"",SCORES!Q49/SCORES!Q$5*100))</f>
        <v/>
      </c>
      <c r="O49" s="12" t="str">
        <f>IF(N49="","",N49*SETTINGS!$E$10/100)</f>
        <v/>
      </c>
      <c r="P49" s="12" t="str">
        <f t="shared" si="3"/>
        <v/>
      </c>
      <c r="Q49" s="12" t="str">
        <f t="shared" si="4"/>
        <v/>
      </c>
      <c r="R49" s="9" t="str">
        <f>IF(B49="","",IF(U49="YES","INCOMPLETE",IF(T49="Attendance Warning","FAILED - ATTENDANCE",IF(P49&gt;=SETTINGS!$B$11,"PASSED","FAILED"))))</f>
        <v/>
      </c>
      <c r="S49" s="15" t="str">
        <f t="shared" si="5"/>
        <v/>
      </c>
      <c r="T49" s="9" t="str">
        <f>IF(B49="","",ATTENDANCE!AL49)</f>
        <v/>
      </c>
      <c r="U49" s="9" t="str">
        <f>IF(B49="","",IF(COUNT(SCORES!D49:Q49)&lt;COUNT(SCORES!D$5:Q$5),"YES","NO"))</f>
        <v/>
      </c>
      <c r="V49" s="8"/>
    </row>
    <row r="50" spans="1:22" ht="14.4">
      <c r="A50" s="1">
        <v>45</v>
      </c>
      <c r="B50" s="1" t="str">
        <f>IF('STUDENT LIST'!B49="","",'STUDENT LIST'!B49)</f>
        <v/>
      </c>
      <c r="C50" s="1" t="str">
        <f>IF('STUDENT LIST'!F49="","",'STUDENT LIST'!F49)</f>
        <v/>
      </c>
      <c r="D50" s="12" t="str">
        <f>IF(B50="","",ATTENDANCE!AK50)</f>
        <v/>
      </c>
      <c r="E50" s="12" t="str">
        <f>IF(D50="","",D50*SETTINGS!$E$5/100)</f>
        <v/>
      </c>
      <c r="F50" s="12" t="str">
        <f>IF(B50="","",IF(SUM(SCORES!D$5:H$5)=0,"",SUM(SCORES!D50:H50)/SUM(SCORES!D$5:H$5)*100))</f>
        <v/>
      </c>
      <c r="G50" s="12" t="str">
        <f>IF(F50="","",F50*SETTINGS!$E$6/100)</f>
        <v/>
      </c>
      <c r="H50" s="12" t="str">
        <f>IF(B50="","",IF(SUM(SCORES!I$5:M$5)=0,"",SUM(SCORES!I50:M50)/SUM(SCORES!I$5:M$5)*100))</f>
        <v/>
      </c>
      <c r="I50" s="12" t="str">
        <f>IF(H50="","",H50*SETTINGS!$E$7/100)</f>
        <v/>
      </c>
      <c r="J50" s="12" t="str">
        <f>IF(B50="","",IF(SUM(SCORES!N$5:O$5)=0,"",SUM(SCORES!N50:O50)/SUM(SCORES!N$5:O$5)*100))</f>
        <v/>
      </c>
      <c r="K50" s="12" t="str">
        <f>IF(J50="","",J50*SETTINGS!$E$8/100)</f>
        <v/>
      </c>
      <c r="L50" s="12" t="str">
        <f>IF(B50="","",IF(SCORES!P$5=0,"",SCORES!P50/SCORES!P$5*100))</f>
        <v/>
      </c>
      <c r="M50" s="12" t="str">
        <f>IF(L50="","",L50*SETTINGS!$E$9/100)</f>
        <v/>
      </c>
      <c r="N50" s="12" t="str">
        <f>IF(B50="","",IF(SCORES!Q$5=0,"",SCORES!Q50/SCORES!Q$5*100))</f>
        <v/>
      </c>
      <c r="O50" s="12" t="str">
        <f>IF(N50="","",N50*SETTINGS!$E$10/100)</f>
        <v/>
      </c>
      <c r="P50" s="12" t="str">
        <f t="shared" si="3"/>
        <v/>
      </c>
      <c r="Q50" s="12" t="str">
        <f t="shared" si="4"/>
        <v/>
      </c>
      <c r="R50" s="9" t="str">
        <f>IF(B50="","",IF(U50="YES","INCOMPLETE",IF(T50="Attendance Warning","FAILED - ATTENDANCE",IF(P50&gt;=SETTINGS!$B$11,"PASSED","FAILED"))))</f>
        <v/>
      </c>
      <c r="S50" s="15" t="str">
        <f t="shared" si="5"/>
        <v/>
      </c>
      <c r="T50" s="9" t="str">
        <f>IF(B50="","",ATTENDANCE!AL50)</f>
        <v/>
      </c>
      <c r="U50" s="9" t="str">
        <f>IF(B50="","",IF(COUNT(SCORES!D50:Q50)&lt;COUNT(SCORES!D$5:Q$5),"YES","NO"))</f>
        <v/>
      </c>
      <c r="V50" s="8"/>
    </row>
    <row r="51" spans="1:22" ht="14.4">
      <c r="A51" s="1">
        <v>46</v>
      </c>
      <c r="B51" s="1" t="str">
        <f>IF('STUDENT LIST'!B50="","",'STUDENT LIST'!B50)</f>
        <v/>
      </c>
      <c r="C51" s="1" t="str">
        <f>IF('STUDENT LIST'!F50="","",'STUDENT LIST'!F50)</f>
        <v/>
      </c>
      <c r="D51" s="12" t="str">
        <f>IF(B51="","",ATTENDANCE!AK51)</f>
        <v/>
      </c>
      <c r="E51" s="12" t="str">
        <f>IF(D51="","",D51*SETTINGS!$E$5/100)</f>
        <v/>
      </c>
      <c r="F51" s="12" t="str">
        <f>IF(B51="","",IF(SUM(SCORES!D$5:H$5)=0,"",SUM(SCORES!D51:H51)/SUM(SCORES!D$5:H$5)*100))</f>
        <v/>
      </c>
      <c r="G51" s="12" t="str">
        <f>IF(F51="","",F51*SETTINGS!$E$6/100)</f>
        <v/>
      </c>
      <c r="H51" s="12" t="str">
        <f>IF(B51="","",IF(SUM(SCORES!I$5:M$5)=0,"",SUM(SCORES!I51:M51)/SUM(SCORES!I$5:M$5)*100))</f>
        <v/>
      </c>
      <c r="I51" s="12" t="str">
        <f>IF(H51="","",H51*SETTINGS!$E$7/100)</f>
        <v/>
      </c>
      <c r="J51" s="12" t="str">
        <f>IF(B51="","",IF(SUM(SCORES!N$5:O$5)=0,"",SUM(SCORES!N51:O51)/SUM(SCORES!N$5:O$5)*100))</f>
        <v/>
      </c>
      <c r="K51" s="12" t="str">
        <f>IF(J51="","",J51*SETTINGS!$E$8/100)</f>
        <v/>
      </c>
      <c r="L51" s="12" t="str">
        <f>IF(B51="","",IF(SCORES!P$5=0,"",SCORES!P51/SCORES!P$5*100))</f>
        <v/>
      </c>
      <c r="M51" s="12" t="str">
        <f>IF(L51="","",L51*SETTINGS!$E$9/100)</f>
        <v/>
      </c>
      <c r="N51" s="12" t="str">
        <f>IF(B51="","",IF(SCORES!Q$5=0,"",SCORES!Q51/SCORES!Q$5*100))</f>
        <v/>
      </c>
      <c r="O51" s="12" t="str">
        <f>IF(N51="","",N51*SETTINGS!$E$10/100)</f>
        <v/>
      </c>
      <c r="P51" s="12" t="str">
        <f t="shared" si="3"/>
        <v/>
      </c>
      <c r="Q51" s="12" t="str">
        <f t="shared" si="4"/>
        <v/>
      </c>
      <c r="R51" s="9" t="str">
        <f>IF(B51="","",IF(U51="YES","INCOMPLETE",IF(T51="Attendance Warning","FAILED - ATTENDANCE",IF(P51&gt;=SETTINGS!$B$11,"PASSED","FAILED"))))</f>
        <v/>
      </c>
      <c r="S51" s="15" t="str">
        <f t="shared" si="5"/>
        <v/>
      </c>
      <c r="T51" s="9" t="str">
        <f>IF(B51="","",ATTENDANCE!AL51)</f>
        <v/>
      </c>
      <c r="U51" s="9" t="str">
        <f>IF(B51="","",IF(COUNT(SCORES!D51:Q51)&lt;COUNT(SCORES!D$5:Q$5),"YES","NO"))</f>
        <v/>
      </c>
      <c r="V51" s="8"/>
    </row>
    <row r="52" spans="1:22" ht="14.4">
      <c r="A52" s="1">
        <v>47</v>
      </c>
      <c r="B52" s="1" t="str">
        <f>IF('STUDENT LIST'!B51="","",'STUDENT LIST'!B51)</f>
        <v/>
      </c>
      <c r="C52" s="1" t="str">
        <f>IF('STUDENT LIST'!F51="","",'STUDENT LIST'!F51)</f>
        <v/>
      </c>
      <c r="D52" s="12" t="str">
        <f>IF(B52="","",ATTENDANCE!AK52)</f>
        <v/>
      </c>
      <c r="E52" s="12" t="str">
        <f>IF(D52="","",D52*SETTINGS!$E$5/100)</f>
        <v/>
      </c>
      <c r="F52" s="12" t="str">
        <f>IF(B52="","",IF(SUM(SCORES!D$5:H$5)=0,"",SUM(SCORES!D52:H52)/SUM(SCORES!D$5:H$5)*100))</f>
        <v/>
      </c>
      <c r="G52" s="12" t="str">
        <f>IF(F52="","",F52*SETTINGS!$E$6/100)</f>
        <v/>
      </c>
      <c r="H52" s="12" t="str">
        <f>IF(B52="","",IF(SUM(SCORES!I$5:M$5)=0,"",SUM(SCORES!I52:M52)/SUM(SCORES!I$5:M$5)*100))</f>
        <v/>
      </c>
      <c r="I52" s="12" t="str">
        <f>IF(H52="","",H52*SETTINGS!$E$7/100)</f>
        <v/>
      </c>
      <c r="J52" s="12" t="str">
        <f>IF(B52="","",IF(SUM(SCORES!N$5:O$5)=0,"",SUM(SCORES!N52:O52)/SUM(SCORES!N$5:O$5)*100))</f>
        <v/>
      </c>
      <c r="K52" s="12" t="str">
        <f>IF(J52="","",J52*SETTINGS!$E$8/100)</f>
        <v/>
      </c>
      <c r="L52" s="12" t="str">
        <f>IF(B52="","",IF(SCORES!P$5=0,"",SCORES!P52/SCORES!P$5*100))</f>
        <v/>
      </c>
      <c r="M52" s="12" t="str">
        <f>IF(L52="","",L52*SETTINGS!$E$9/100)</f>
        <v/>
      </c>
      <c r="N52" s="12" t="str">
        <f>IF(B52="","",IF(SCORES!Q$5=0,"",SCORES!Q52/SCORES!Q$5*100))</f>
        <v/>
      </c>
      <c r="O52" s="12" t="str">
        <f>IF(N52="","",N52*SETTINGS!$E$10/100)</f>
        <v/>
      </c>
      <c r="P52" s="12" t="str">
        <f t="shared" si="3"/>
        <v/>
      </c>
      <c r="Q52" s="12" t="str">
        <f t="shared" si="4"/>
        <v/>
      </c>
      <c r="R52" s="9" t="str">
        <f>IF(B52="","",IF(U52="YES","INCOMPLETE",IF(T52="Attendance Warning","FAILED - ATTENDANCE",IF(P52&gt;=SETTINGS!$B$11,"PASSED","FAILED"))))</f>
        <v/>
      </c>
      <c r="S52" s="15" t="str">
        <f t="shared" si="5"/>
        <v/>
      </c>
      <c r="T52" s="9" t="str">
        <f>IF(B52="","",ATTENDANCE!AL52)</f>
        <v/>
      </c>
      <c r="U52" s="9" t="str">
        <f>IF(B52="","",IF(COUNT(SCORES!D52:Q52)&lt;COUNT(SCORES!D$5:Q$5),"YES","NO"))</f>
        <v/>
      </c>
      <c r="V52" s="8"/>
    </row>
    <row r="53" spans="1:22" ht="14.4">
      <c r="A53" s="1">
        <v>48</v>
      </c>
      <c r="B53" s="1" t="str">
        <f>IF('STUDENT LIST'!B52="","",'STUDENT LIST'!B52)</f>
        <v/>
      </c>
      <c r="C53" s="1" t="str">
        <f>IF('STUDENT LIST'!F52="","",'STUDENT LIST'!F52)</f>
        <v/>
      </c>
      <c r="D53" s="12" t="str">
        <f>IF(B53="","",ATTENDANCE!AK53)</f>
        <v/>
      </c>
      <c r="E53" s="12" t="str">
        <f>IF(D53="","",D53*SETTINGS!$E$5/100)</f>
        <v/>
      </c>
      <c r="F53" s="12" t="str">
        <f>IF(B53="","",IF(SUM(SCORES!D$5:H$5)=0,"",SUM(SCORES!D53:H53)/SUM(SCORES!D$5:H$5)*100))</f>
        <v/>
      </c>
      <c r="G53" s="12" t="str">
        <f>IF(F53="","",F53*SETTINGS!$E$6/100)</f>
        <v/>
      </c>
      <c r="H53" s="12" t="str">
        <f>IF(B53="","",IF(SUM(SCORES!I$5:M$5)=0,"",SUM(SCORES!I53:M53)/SUM(SCORES!I$5:M$5)*100))</f>
        <v/>
      </c>
      <c r="I53" s="12" t="str">
        <f>IF(H53="","",H53*SETTINGS!$E$7/100)</f>
        <v/>
      </c>
      <c r="J53" s="12" t="str">
        <f>IF(B53="","",IF(SUM(SCORES!N$5:O$5)=0,"",SUM(SCORES!N53:O53)/SUM(SCORES!N$5:O$5)*100))</f>
        <v/>
      </c>
      <c r="K53" s="12" t="str">
        <f>IF(J53="","",J53*SETTINGS!$E$8/100)</f>
        <v/>
      </c>
      <c r="L53" s="12" t="str">
        <f>IF(B53="","",IF(SCORES!P$5=0,"",SCORES!P53/SCORES!P$5*100))</f>
        <v/>
      </c>
      <c r="M53" s="12" t="str">
        <f>IF(L53="","",L53*SETTINGS!$E$9/100)</f>
        <v/>
      </c>
      <c r="N53" s="12" t="str">
        <f>IF(B53="","",IF(SCORES!Q$5=0,"",SCORES!Q53/SCORES!Q$5*100))</f>
        <v/>
      </c>
      <c r="O53" s="12" t="str">
        <f>IF(N53="","",N53*SETTINGS!$E$10/100)</f>
        <v/>
      </c>
      <c r="P53" s="12" t="str">
        <f t="shared" si="3"/>
        <v/>
      </c>
      <c r="Q53" s="12" t="str">
        <f t="shared" si="4"/>
        <v/>
      </c>
      <c r="R53" s="9" t="str">
        <f>IF(B53="","",IF(U53="YES","INCOMPLETE",IF(T53="Attendance Warning","FAILED - ATTENDANCE",IF(P53&gt;=SETTINGS!$B$11,"PASSED","FAILED"))))</f>
        <v/>
      </c>
      <c r="S53" s="15" t="str">
        <f t="shared" si="5"/>
        <v/>
      </c>
      <c r="T53" s="9" t="str">
        <f>IF(B53="","",ATTENDANCE!AL53)</f>
        <v/>
      </c>
      <c r="U53" s="9" t="str">
        <f>IF(B53="","",IF(COUNT(SCORES!D53:Q53)&lt;COUNT(SCORES!D$5:Q$5),"YES","NO"))</f>
        <v/>
      </c>
      <c r="V53" s="8"/>
    </row>
    <row r="54" spans="1:22" ht="14.4">
      <c r="A54" s="1">
        <v>49</v>
      </c>
      <c r="B54" s="1" t="str">
        <f>IF('STUDENT LIST'!B53="","",'STUDENT LIST'!B53)</f>
        <v/>
      </c>
      <c r="C54" s="1" t="str">
        <f>IF('STUDENT LIST'!F53="","",'STUDENT LIST'!F53)</f>
        <v/>
      </c>
      <c r="D54" s="12" t="str">
        <f>IF(B54="","",ATTENDANCE!AK54)</f>
        <v/>
      </c>
      <c r="E54" s="12" t="str">
        <f>IF(D54="","",D54*SETTINGS!$E$5/100)</f>
        <v/>
      </c>
      <c r="F54" s="12" t="str">
        <f>IF(B54="","",IF(SUM(SCORES!D$5:H$5)=0,"",SUM(SCORES!D54:H54)/SUM(SCORES!D$5:H$5)*100))</f>
        <v/>
      </c>
      <c r="G54" s="12" t="str">
        <f>IF(F54="","",F54*SETTINGS!$E$6/100)</f>
        <v/>
      </c>
      <c r="H54" s="12" t="str">
        <f>IF(B54="","",IF(SUM(SCORES!I$5:M$5)=0,"",SUM(SCORES!I54:M54)/SUM(SCORES!I$5:M$5)*100))</f>
        <v/>
      </c>
      <c r="I54" s="12" t="str">
        <f>IF(H54="","",H54*SETTINGS!$E$7/100)</f>
        <v/>
      </c>
      <c r="J54" s="12" t="str">
        <f>IF(B54="","",IF(SUM(SCORES!N$5:O$5)=0,"",SUM(SCORES!N54:O54)/SUM(SCORES!N$5:O$5)*100))</f>
        <v/>
      </c>
      <c r="K54" s="12" t="str">
        <f>IF(J54="","",J54*SETTINGS!$E$8/100)</f>
        <v/>
      </c>
      <c r="L54" s="12" t="str">
        <f>IF(B54="","",IF(SCORES!P$5=0,"",SCORES!P54/SCORES!P$5*100))</f>
        <v/>
      </c>
      <c r="M54" s="12" t="str">
        <f>IF(L54="","",L54*SETTINGS!$E$9/100)</f>
        <v/>
      </c>
      <c r="N54" s="12" t="str">
        <f>IF(B54="","",IF(SCORES!Q$5=0,"",SCORES!Q54/SCORES!Q$5*100))</f>
        <v/>
      </c>
      <c r="O54" s="12" t="str">
        <f>IF(N54="","",N54*SETTINGS!$E$10/100)</f>
        <v/>
      </c>
      <c r="P54" s="12" t="str">
        <f t="shared" si="3"/>
        <v/>
      </c>
      <c r="Q54" s="12" t="str">
        <f t="shared" si="4"/>
        <v/>
      </c>
      <c r="R54" s="9" t="str">
        <f>IF(B54="","",IF(U54="YES","INCOMPLETE",IF(T54="Attendance Warning","FAILED - ATTENDANCE",IF(P54&gt;=SETTINGS!$B$11,"PASSED","FAILED"))))</f>
        <v/>
      </c>
      <c r="S54" s="15" t="str">
        <f t="shared" si="5"/>
        <v/>
      </c>
      <c r="T54" s="9" t="str">
        <f>IF(B54="","",ATTENDANCE!AL54)</f>
        <v/>
      </c>
      <c r="U54" s="9" t="str">
        <f>IF(B54="","",IF(COUNT(SCORES!D54:Q54)&lt;COUNT(SCORES!D$5:Q$5),"YES","NO"))</f>
        <v/>
      </c>
      <c r="V54" s="8"/>
    </row>
    <row r="55" spans="1:22" ht="14.4">
      <c r="A55" s="1">
        <v>50</v>
      </c>
      <c r="B55" s="1" t="str">
        <f>IF('STUDENT LIST'!B54="","",'STUDENT LIST'!B54)</f>
        <v/>
      </c>
      <c r="C55" s="1" t="str">
        <f>IF('STUDENT LIST'!F54="","",'STUDENT LIST'!F54)</f>
        <v/>
      </c>
      <c r="D55" s="12" t="str">
        <f>IF(B55="","",ATTENDANCE!AK55)</f>
        <v/>
      </c>
      <c r="E55" s="12" t="str">
        <f>IF(D55="","",D55*SETTINGS!$E$5/100)</f>
        <v/>
      </c>
      <c r="F55" s="12" t="str">
        <f>IF(B55="","",IF(SUM(SCORES!D$5:H$5)=0,"",SUM(SCORES!D55:H55)/SUM(SCORES!D$5:H$5)*100))</f>
        <v/>
      </c>
      <c r="G55" s="12" t="str">
        <f>IF(F55="","",F55*SETTINGS!$E$6/100)</f>
        <v/>
      </c>
      <c r="H55" s="12" t="str">
        <f>IF(B55="","",IF(SUM(SCORES!I$5:M$5)=0,"",SUM(SCORES!I55:M55)/SUM(SCORES!I$5:M$5)*100))</f>
        <v/>
      </c>
      <c r="I55" s="12" t="str">
        <f>IF(H55="","",H55*SETTINGS!$E$7/100)</f>
        <v/>
      </c>
      <c r="J55" s="12" t="str">
        <f>IF(B55="","",IF(SUM(SCORES!N$5:O$5)=0,"",SUM(SCORES!N55:O55)/SUM(SCORES!N$5:O$5)*100))</f>
        <v/>
      </c>
      <c r="K55" s="12" t="str">
        <f>IF(J55="","",J55*SETTINGS!$E$8/100)</f>
        <v/>
      </c>
      <c r="L55" s="12" t="str">
        <f>IF(B55="","",IF(SCORES!P$5=0,"",SCORES!P55/SCORES!P$5*100))</f>
        <v/>
      </c>
      <c r="M55" s="12" t="str">
        <f>IF(L55="","",L55*SETTINGS!$E$9/100)</f>
        <v/>
      </c>
      <c r="N55" s="12" t="str">
        <f>IF(B55="","",IF(SCORES!Q$5=0,"",SCORES!Q55/SCORES!Q$5*100))</f>
        <v/>
      </c>
      <c r="O55" s="12" t="str">
        <f>IF(N55="","",N55*SETTINGS!$E$10/100)</f>
        <v/>
      </c>
      <c r="P55" s="12" t="str">
        <f t="shared" si="3"/>
        <v/>
      </c>
      <c r="Q55" s="12" t="str">
        <f t="shared" si="4"/>
        <v/>
      </c>
      <c r="R55" s="9" t="str">
        <f>IF(B55="","",IF(U55="YES","INCOMPLETE",IF(T55="Attendance Warning","FAILED - ATTENDANCE",IF(P55&gt;=SETTINGS!$B$11,"PASSED","FAILED"))))</f>
        <v/>
      </c>
      <c r="S55" s="15" t="str">
        <f t="shared" si="5"/>
        <v/>
      </c>
      <c r="T55" s="9" t="str">
        <f>IF(B55="","",ATTENDANCE!AL55)</f>
        <v/>
      </c>
      <c r="U55" s="9" t="str">
        <f>IF(B55="","",IF(COUNT(SCORES!D55:Q55)&lt;COUNT(SCORES!D$5:Q$5),"YES","NO"))</f>
        <v/>
      </c>
      <c r="V55" s="8"/>
    </row>
  </sheetData>
  <mergeCells count="2">
    <mergeCell ref="A1:V2"/>
    <mergeCell ref="A3:V3"/>
  </mergeCells>
  <conditionalFormatting sqref="P6:P55">
    <cfRule type="colorScale" priority="1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R6:R55">
    <cfRule type="expression" dxfId="2" priority="2">
      <formula>LEFT(R6,6)="FAILED"</formula>
    </cfRule>
    <cfRule type="expression" dxfId="1" priority="3">
      <formula>R6="PASSED"</formula>
    </cfRule>
  </conditionalFormatting>
  <conditionalFormatting sqref="U6:U55">
    <cfRule type="expression" dxfId="0" priority="4">
      <formula>U6="YES"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"/>
  <sheetViews>
    <sheetView workbookViewId="0"/>
  </sheetViews>
  <sheetFormatPr defaultRowHeight="13.8"/>
  <cols>
    <col min="1" max="7" width="14" customWidth="1"/>
    <col min="8" max="8" width="26" customWidth="1"/>
    <col min="9" max="10" width="14" customWidth="1"/>
    <col min="11" max="11" width="20" customWidth="1"/>
    <col min="12" max="12" width="14" customWidth="1"/>
  </cols>
  <sheetData>
    <row r="1" spans="1:12">
      <c r="A1" s="19" t="s">
        <v>148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4.4">
      <c r="A3" s="23" t="str">
        <f>SETTINGS!B6&amp;" | "&amp;SETTINGS!B7&amp;" | "&amp;SETTINGS!B9&amp;" | AY "&amp;SETTINGS!B10</f>
        <v>Introduction to Computing | BSCS 1-1 | 1st Semester | AY 2026-2027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24" t="str">
        <f>"ENROLLED STUDENTS"&amp;CHAR(10)&amp;TEXT(COUNTIF('STUDENT LIST'!B5:B54,"&lt;&gt;"),"0")</f>
        <v>ENROLLED STUDENTS
5</v>
      </c>
      <c r="B5" s="24"/>
      <c r="C5" s="24"/>
      <c r="D5" s="24" t="str">
        <f>"CLASS AVERAGE"&amp;CHAR(10)&amp;TEXT(IFERROR(AVERAGEIF(GRADEBOOK!P6:P55,"&gt;0"),0),"0.00")</f>
        <v>CLASS AVERAGE
0.00</v>
      </c>
      <c r="E5" s="24"/>
      <c r="F5" s="24"/>
      <c r="G5" s="24" t="str">
        <f>"PASSING RATE"&amp;CHAR(10)&amp;ROUND(IFERROR(COUNTIF(GRADEBOOK!R6:R55,"PASSED")/COUNTIF(GRADEBOOK!B6:B55,"&lt;&gt;")*100,0),2)&amp;"%"</f>
        <v>PASSING RATE
0%</v>
      </c>
      <c r="H5" s="24"/>
      <c r="I5" s="24"/>
      <c r="J5" s="24" t="str">
        <f>"AVERAGE ATTENDANCE"&amp;CHAR(10)&amp;ROUND(IFERROR(AVERAGEIF(GRADEBOOK!D6:D55,"&gt;0"),0),2)&amp;"%"</f>
        <v>AVERAGE ATTENDANCE
0%</v>
      </c>
      <c r="K5" s="24"/>
      <c r="L5" s="24"/>
    </row>
    <row r="6" spans="1:12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ht="14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8.8">
      <c r="A10" s="3" t="s">
        <v>149</v>
      </c>
      <c r="B10" s="3" t="s">
        <v>150</v>
      </c>
      <c r="C10" s="1"/>
      <c r="D10" s="1"/>
      <c r="E10" s="1"/>
      <c r="F10" s="1"/>
      <c r="G10" s="22" t="s">
        <v>151</v>
      </c>
      <c r="H10" s="22"/>
      <c r="I10" s="22"/>
      <c r="J10" s="22"/>
      <c r="K10" s="22"/>
      <c r="L10" s="22"/>
    </row>
    <row r="11" spans="1:12" ht="14.4">
      <c r="A11" s="1" t="s">
        <v>152</v>
      </c>
      <c r="B11" s="1">
        <f>COUNTIFS(GRADEBOOK!Q6:Q55,"&gt;=1",GRADEBOOK!Q6:Q55,"&lt;=1.75")</f>
        <v>0</v>
      </c>
      <c r="C11" s="1"/>
      <c r="D11" s="1"/>
      <c r="E11" s="1"/>
      <c r="F11" s="1"/>
      <c r="G11" s="2" t="s">
        <v>144</v>
      </c>
      <c r="H11" s="2" t="s">
        <v>108</v>
      </c>
      <c r="I11" s="2" t="s">
        <v>153</v>
      </c>
      <c r="J11" s="2" t="s">
        <v>68</v>
      </c>
      <c r="K11" s="2" t="s">
        <v>143</v>
      </c>
      <c r="L11" s="2" t="s">
        <v>112</v>
      </c>
    </row>
    <row r="12" spans="1:12" ht="14.4">
      <c r="A12" s="1" t="s">
        <v>154</v>
      </c>
      <c r="B12" s="1">
        <f>COUNTIFS(GRADEBOOK!Q6:Q55,"&gt;=2",GRADEBOOK!Q6:Q55,"&lt;=2.5")</f>
        <v>0</v>
      </c>
      <c r="C12" s="1"/>
      <c r="D12" s="1"/>
      <c r="E12" s="1"/>
      <c r="F12" s="1"/>
      <c r="G12" s="1">
        <v>1</v>
      </c>
      <c r="H12" s="1" t="str">
        <f>IFERROR(INDEX(GRADEBOOK!$C$6:$C$55,MATCH(G12,GRADEBOOK!$S$6:$S$55,0)),"")</f>
        <v/>
      </c>
      <c r="I12" s="16" t="str">
        <f>IF(H12="","",INDEX(GRADEBOOK!$P$6:$P$55,MATCH(G12,GRADEBOOK!$S$6:$S$55,0)))</f>
        <v/>
      </c>
      <c r="J12" s="16" t="str">
        <f>IF(H12="","",INDEX(GRADEBOOK!$Q$6:$Q$55,MATCH(G12,GRADEBOOK!$S$6:$S$55,0)))</f>
        <v/>
      </c>
      <c r="K12" s="1" t="str">
        <f>IF(H12="","",INDEX(GRADEBOOK!$R$6:$R$55,MATCH(G12,GRADEBOOK!$S$6:$S$55,0)))</f>
        <v/>
      </c>
      <c r="L12" s="16" t="str">
        <f>IF(H12="","",INDEX(GRADEBOOK!$D$6:$D$55,MATCH(G12,GRADEBOOK!$S$6:$S$55,0)))</f>
        <v/>
      </c>
    </row>
    <row r="13" spans="1:12" ht="14.4">
      <c r="A13" s="1" t="s">
        <v>155</v>
      </c>
      <c r="B13" s="1">
        <f>COUNTIFS(GRADEBOOK!Q6:Q55,"&gt;=2.75",GRADEBOOK!Q6:Q55,"&lt;=3")</f>
        <v>0</v>
      </c>
      <c r="C13" s="1"/>
      <c r="D13" s="1"/>
      <c r="E13" s="1"/>
      <c r="F13" s="1"/>
      <c r="G13" s="1">
        <v>2</v>
      </c>
      <c r="H13" s="1" t="str">
        <f>IFERROR(INDEX(GRADEBOOK!$C$6:$C$55,MATCH(G13,GRADEBOOK!$S$6:$S$55,0)),"")</f>
        <v/>
      </c>
      <c r="I13" s="16" t="str">
        <f>IF(H13="","",INDEX(GRADEBOOK!$P$6:$P$55,MATCH(G13,GRADEBOOK!$S$6:$S$55,0)))</f>
        <v/>
      </c>
      <c r="J13" s="16" t="str">
        <f>IF(H13="","",INDEX(GRADEBOOK!$Q$6:$Q$55,MATCH(G13,GRADEBOOK!$S$6:$S$55,0)))</f>
        <v/>
      </c>
      <c r="K13" s="1" t="str">
        <f>IF(H13="","",INDEX(GRADEBOOK!$R$6:$R$55,MATCH(G13,GRADEBOOK!$S$6:$S$55,0)))</f>
        <v/>
      </c>
      <c r="L13" s="16" t="str">
        <f>IF(H13="","",INDEX(GRADEBOOK!$D$6:$D$55,MATCH(G13,GRADEBOOK!$S$6:$S$55,0)))</f>
        <v/>
      </c>
    </row>
    <row r="14" spans="1:12" ht="14.4">
      <c r="A14" s="1" t="s">
        <v>156</v>
      </c>
      <c r="B14" s="1">
        <f>COUNTIF(GRADEBOOK!Q6:Q55,4)</f>
        <v>0</v>
      </c>
      <c r="C14" s="1"/>
      <c r="D14" s="1"/>
      <c r="E14" s="1"/>
      <c r="F14" s="1"/>
      <c r="G14" s="1">
        <v>3</v>
      </c>
      <c r="H14" s="1" t="str">
        <f>IFERROR(INDEX(GRADEBOOK!$C$6:$C$55,MATCH(G14,GRADEBOOK!$S$6:$S$55,0)),"")</f>
        <v/>
      </c>
      <c r="I14" s="16" t="str">
        <f>IF(H14="","",INDEX(GRADEBOOK!$P$6:$P$55,MATCH(G14,GRADEBOOK!$S$6:$S$55,0)))</f>
        <v/>
      </c>
      <c r="J14" s="16" t="str">
        <f>IF(H14="","",INDEX(GRADEBOOK!$Q$6:$Q$55,MATCH(G14,GRADEBOOK!$S$6:$S$55,0)))</f>
        <v/>
      </c>
      <c r="K14" s="1" t="str">
        <f>IF(H14="","",INDEX(GRADEBOOK!$R$6:$R$55,MATCH(G14,GRADEBOOK!$S$6:$S$55,0)))</f>
        <v/>
      </c>
      <c r="L14" s="16" t="str">
        <f>IF(H14="","",INDEX(GRADEBOOK!$D$6:$D$55,MATCH(G14,GRADEBOOK!$S$6:$S$55,0)))</f>
        <v/>
      </c>
    </row>
    <row r="15" spans="1:12" ht="14.4">
      <c r="A15" s="1" t="s">
        <v>157</v>
      </c>
      <c r="B15" s="1">
        <f>COUNTIF(GRADEBOOK!Q6:Q55,5)</f>
        <v>5</v>
      </c>
      <c r="C15" s="1"/>
      <c r="D15" s="1"/>
      <c r="E15" s="1"/>
      <c r="F15" s="1"/>
      <c r="G15" s="1">
        <v>4</v>
      </c>
      <c r="H15" s="1" t="str">
        <f>IFERROR(INDEX(GRADEBOOK!$C$6:$C$55,MATCH(G15,GRADEBOOK!$S$6:$S$55,0)),"")</f>
        <v/>
      </c>
      <c r="I15" s="16" t="str">
        <f>IF(H15="","",INDEX(GRADEBOOK!$P$6:$P$55,MATCH(G15,GRADEBOOK!$S$6:$S$55,0)))</f>
        <v/>
      </c>
      <c r="J15" s="16" t="str">
        <f>IF(H15="","",INDEX(GRADEBOOK!$Q$6:$Q$55,MATCH(G15,GRADEBOOK!$S$6:$S$55,0)))</f>
        <v/>
      </c>
      <c r="K15" s="1" t="str">
        <f>IF(H15="","",INDEX(GRADEBOOK!$R$6:$R$55,MATCH(G15,GRADEBOOK!$S$6:$S$55,0)))</f>
        <v/>
      </c>
      <c r="L15" s="16" t="str">
        <f>IF(H15="","",INDEX(GRADEBOOK!$D$6:$D$55,MATCH(G15,GRADEBOOK!$S$6:$S$55,0)))</f>
        <v/>
      </c>
    </row>
    <row r="16" spans="1:12" ht="14.4">
      <c r="A16" s="1" t="s">
        <v>158</v>
      </c>
      <c r="B16" s="1">
        <f>COUNTIF(GRADEBOOK!R6:R55,"FAILED - ATTENDANCE")</f>
        <v>0</v>
      </c>
      <c r="C16" s="1"/>
      <c r="D16" s="1"/>
      <c r="E16" s="1"/>
      <c r="F16" s="1"/>
      <c r="G16" s="1">
        <v>5</v>
      </c>
      <c r="H16" s="1" t="str">
        <f>IFERROR(INDEX(GRADEBOOK!$C$6:$C$55,MATCH(G16,GRADEBOOK!$S$6:$S$55,0)),"")</f>
        <v/>
      </c>
      <c r="I16" s="16" t="str">
        <f>IF(H16="","",INDEX(GRADEBOOK!$P$6:$P$55,MATCH(G16,GRADEBOOK!$S$6:$S$55,0)))</f>
        <v/>
      </c>
      <c r="J16" s="16" t="str">
        <f>IF(H16="","",INDEX(GRADEBOOK!$Q$6:$Q$55,MATCH(G16,GRADEBOOK!$S$6:$S$55,0)))</f>
        <v/>
      </c>
      <c r="K16" s="1" t="str">
        <f>IF(H16="","",INDEX(GRADEBOOK!$R$6:$R$55,MATCH(G16,GRADEBOOK!$S$6:$S$55,0)))</f>
        <v/>
      </c>
      <c r="L16" s="16" t="str">
        <f>IF(H16="","",INDEX(GRADEBOOK!$D$6:$D$55,MATCH(G16,GRADEBOOK!$S$6:$S$55,0)))</f>
        <v/>
      </c>
    </row>
    <row r="17" spans="1:12" ht="14.4">
      <c r="A17" s="1"/>
      <c r="B17" s="1"/>
      <c r="C17" s="1"/>
      <c r="D17" s="1"/>
      <c r="E17" s="1"/>
      <c r="F17" s="1"/>
      <c r="G17" s="1">
        <v>6</v>
      </c>
      <c r="H17" s="1" t="str">
        <f>IFERROR(INDEX(GRADEBOOK!$C$6:$C$55,MATCH(G17,GRADEBOOK!$S$6:$S$55,0)),"")</f>
        <v/>
      </c>
      <c r="I17" s="16" t="str">
        <f>IF(H17="","",INDEX(GRADEBOOK!$P$6:$P$55,MATCH(G17,GRADEBOOK!$S$6:$S$55,0)))</f>
        <v/>
      </c>
      <c r="J17" s="16" t="str">
        <f>IF(H17="","",INDEX(GRADEBOOK!$Q$6:$Q$55,MATCH(G17,GRADEBOOK!$S$6:$S$55,0)))</f>
        <v/>
      </c>
      <c r="K17" s="1" t="str">
        <f>IF(H17="","",INDEX(GRADEBOOK!$R$6:$R$55,MATCH(G17,GRADEBOOK!$S$6:$S$55,0)))</f>
        <v/>
      </c>
      <c r="L17" s="16" t="str">
        <f>IF(H17="","",INDEX(GRADEBOOK!$D$6:$D$55,MATCH(G17,GRADEBOOK!$S$6:$S$55,0)))</f>
        <v/>
      </c>
    </row>
    <row r="18" spans="1:12" ht="14.4">
      <c r="A18" s="1"/>
      <c r="B18" s="1"/>
      <c r="C18" s="1"/>
      <c r="D18" s="1"/>
      <c r="E18" s="1"/>
      <c r="F18" s="1"/>
      <c r="G18" s="1">
        <v>7</v>
      </c>
      <c r="H18" s="1" t="str">
        <f>IFERROR(INDEX(GRADEBOOK!$C$6:$C$55,MATCH(G18,GRADEBOOK!$S$6:$S$55,0)),"")</f>
        <v/>
      </c>
      <c r="I18" s="16" t="str">
        <f>IF(H18="","",INDEX(GRADEBOOK!$P$6:$P$55,MATCH(G18,GRADEBOOK!$S$6:$S$55,0)))</f>
        <v/>
      </c>
      <c r="J18" s="16" t="str">
        <f>IF(H18="","",INDEX(GRADEBOOK!$Q$6:$Q$55,MATCH(G18,GRADEBOOK!$S$6:$S$55,0)))</f>
        <v/>
      </c>
      <c r="K18" s="1" t="str">
        <f>IF(H18="","",INDEX(GRADEBOOK!$R$6:$R$55,MATCH(G18,GRADEBOOK!$S$6:$S$55,0)))</f>
        <v/>
      </c>
      <c r="L18" s="16" t="str">
        <f>IF(H18="","",INDEX(GRADEBOOK!$D$6:$D$55,MATCH(G18,GRADEBOOK!$S$6:$S$55,0)))</f>
        <v/>
      </c>
    </row>
    <row r="19" spans="1:12" ht="14.4">
      <c r="A19" s="1"/>
      <c r="B19" s="1"/>
      <c r="C19" s="1"/>
      <c r="D19" s="1"/>
      <c r="E19" s="1"/>
      <c r="F19" s="1"/>
      <c r="G19" s="1">
        <v>8</v>
      </c>
      <c r="H19" s="1" t="str">
        <f>IFERROR(INDEX(GRADEBOOK!$C$6:$C$55,MATCH(G19,GRADEBOOK!$S$6:$S$55,0)),"")</f>
        <v/>
      </c>
      <c r="I19" s="16" t="str">
        <f>IF(H19="","",INDEX(GRADEBOOK!$P$6:$P$55,MATCH(G19,GRADEBOOK!$S$6:$S$55,0)))</f>
        <v/>
      </c>
      <c r="J19" s="16" t="str">
        <f>IF(H19="","",INDEX(GRADEBOOK!$Q$6:$Q$55,MATCH(G19,GRADEBOOK!$S$6:$S$55,0)))</f>
        <v/>
      </c>
      <c r="K19" s="1" t="str">
        <f>IF(H19="","",INDEX(GRADEBOOK!$R$6:$R$55,MATCH(G19,GRADEBOOK!$S$6:$S$55,0)))</f>
        <v/>
      </c>
      <c r="L19" s="16" t="str">
        <f>IF(H19="","",INDEX(GRADEBOOK!$D$6:$D$55,MATCH(G19,GRADEBOOK!$S$6:$S$55,0)))</f>
        <v/>
      </c>
    </row>
    <row r="20" spans="1:12" ht="14.4">
      <c r="A20" s="1"/>
      <c r="B20" s="1"/>
      <c r="C20" s="1"/>
      <c r="D20" s="1"/>
      <c r="E20" s="1"/>
      <c r="F20" s="1"/>
      <c r="G20" s="1">
        <v>9</v>
      </c>
      <c r="H20" s="1" t="str">
        <f>IFERROR(INDEX(GRADEBOOK!$C$6:$C$55,MATCH(G20,GRADEBOOK!$S$6:$S$55,0)),"")</f>
        <v/>
      </c>
      <c r="I20" s="16" t="str">
        <f>IF(H20="","",INDEX(GRADEBOOK!$P$6:$P$55,MATCH(G20,GRADEBOOK!$S$6:$S$55,0)))</f>
        <v/>
      </c>
      <c r="J20" s="16" t="str">
        <f>IF(H20="","",INDEX(GRADEBOOK!$Q$6:$Q$55,MATCH(G20,GRADEBOOK!$S$6:$S$55,0)))</f>
        <v/>
      </c>
      <c r="K20" s="1" t="str">
        <f>IF(H20="","",INDEX(GRADEBOOK!$R$6:$R$55,MATCH(G20,GRADEBOOK!$S$6:$S$55,0)))</f>
        <v/>
      </c>
      <c r="L20" s="16" t="str">
        <f>IF(H20="","",INDEX(GRADEBOOK!$D$6:$D$55,MATCH(G20,GRADEBOOK!$S$6:$S$55,0)))</f>
        <v/>
      </c>
    </row>
    <row r="21" spans="1:12" ht="14.4">
      <c r="A21" s="1"/>
      <c r="B21" s="1"/>
      <c r="C21" s="1"/>
      <c r="D21" s="1"/>
      <c r="E21" s="1"/>
      <c r="F21" s="1"/>
      <c r="G21" s="1">
        <v>10</v>
      </c>
      <c r="H21" s="1" t="str">
        <f>IFERROR(INDEX(GRADEBOOK!$C$6:$C$55,MATCH(G21,GRADEBOOK!$S$6:$S$55,0)),"")</f>
        <v/>
      </c>
      <c r="I21" s="16" t="str">
        <f>IF(H21="","",INDEX(GRADEBOOK!$P$6:$P$55,MATCH(G21,GRADEBOOK!$S$6:$S$55,0)))</f>
        <v/>
      </c>
      <c r="J21" s="16" t="str">
        <f>IF(H21="","",INDEX(GRADEBOOK!$Q$6:$Q$55,MATCH(G21,GRADEBOOK!$S$6:$S$55,0)))</f>
        <v/>
      </c>
      <c r="K21" s="1" t="str">
        <f>IF(H21="","",INDEX(GRADEBOOK!$R$6:$R$55,MATCH(G21,GRADEBOOK!$S$6:$S$55,0)))</f>
        <v/>
      </c>
      <c r="L21" s="16" t="str">
        <f>IF(H21="","",INDEX(GRADEBOOK!$D$6:$D$55,MATCH(G21,GRADEBOOK!$S$6:$S$55,0)))</f>
        <v/>
      </c>
    </row>
    <row r="22" spans="1:12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4.4">
      <c r="A36" s="3" t="s">
        <v>35</v>
      </c>
      <c r="B36" s="3" t="s">
        <v>159</v>
      </c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4.4">
      <c r="A37" s="1" t="s">
        <v>40</v>
      </c>
      <c r="B37" s="16">
        <f>IFERROR(AVERAGEIF(GRADEBOOK!D6:D55,"&gt;0"),0)</f>
        <v>0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4.4">
      <c r="A38" s="1" t="s">
        <v>44</v>
      </c>
      <c r="B38" s="16">
        <f>IFERROR(AVERAGEIF(GRADEBOOK!F6:F55,"&gt;0"),0)</f>
        <v>0</v>
      </c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4.4">
      <c r="A39" s="1" t="s">
        <v>48</v>
      </c>
      <c r="B39" s="16">
        <f>IFERROR(AVERAGEIF(GRADEBOOK!H6:H55,"&gt;0"),0)</f>
        <v>0</v>
      </c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4.4">
      <c r="A40" s="1" t="s">
        <v>160</v>
      </c>
      <c r="B40" s="16">
        <f>IFERROR(AVERAGEIF(GRADEBOOK!J6:J55,"&gt;0"),0)</f>
        <v>0</v>
      </c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4.4">
      <c r="A41" s="1" t="s">
        <v>161</v>
      </c>
      <c r="B41" s="16">
        <f>IFERROR(AVERAGEIF(GRADEBOOK!L6:L55,"&gt;0"),0)</f>
        <v>0</v>
      </c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4.4">
      <c r="A42" s="1" t="s">
        <v>60</v>
      </c>
      <c r="B42" s="16">
        <f>IFERROR(AVERAGEIF(GRADEBOOK!N6:N55,"&gt;0"),0)</f>
        <v>0</v>
      </c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</sheetData>
  <mergeCells count="7">
    <mergeCell ref="G10:L10"/>
    <mergeCell ref="A1:L2"/>
    <mergeCell ref="A3:L3"/>
    <mergeCell ref="A5:C7"/>
    <mergeCell ref="D5:F7"/>
    <mergeCell ref="G5:I7"/>
    <mergeCell ref="J5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SETTINGS</vt:lpstr>
      <vt:lpstr>STUDENT LIST</vt:lpstr>
      <vt:lpstr>ATTENDANCE</vt:lpstr>
      <vt:lpstr>SCORES</vt:lpstr>
      <vt:lpstr>GRADEBOOK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commissionbystella@gmail.com</cp:lastModifiedBy>
  <dcterms:modified xsi:type="dcterms:W3CDTF">2026-07-14T06:29:34Z</dcterms:modified>
</cp:coreProperties>
</file>