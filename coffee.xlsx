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udre\Downloads\new portfolio\"/>
    </mc:Choice>
  </mc:AlternateContent>
  <xr:revisionPtr revIDLastSave="0" documentId="13_ncr:1_{D7628679-F2D8-4010-A92D-9E1C502C4F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RT HERE" sheetId="1" r:id="rId1"/>
    <sheet name="Dashboard" sheetId="2" r:id="rId2"/>
    <sheet name="Orders" sheetId="3" r:id="rId3"/>
    <sheet name="Expenses" sheetId="4" r:id="rId4"/>
    <sheet name="Cash Flow" sheetId="5" r:id="rId5"/>
    <sheet name="Menu &amp; Pricing" sheetId="6" r:id="rId6"/>
    <sheet name="Inventory" sheetId="7" r:id="rId7"/>
    <sheet name="Daily Summary" sheetId="8" r:id="rId8"/>
    <sheet name="Lis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K5" i="8"/>
  <c r="J5" i="8"/>
  <c r="I5" i="8"/>
  <c r="B5" i="8"/>
  <c r="A5" i="8"/>
  <c r="A6" i="8" s="1"/>
  <c r="M104" i="7"/>
  <c r="I104" i="7"/>
  <c r="K104" i="7" s="1"/>
  <c r="I103" i="7"/>
  <c r="I102" i="7"/>
  <c r="M102" i="7" s="1"/>
  <c r="K101" i="7"/>
  <c r="I101" i="7"/>
  <c r="M101" i="7" s="1"/>
  <c r="M100" i="7"/>
  <c r="K100" i="7"/>
  <c r="I100" i="7"/>
  <c r="M99" i="7"/>
  <c r="I99" i="7"/>
  <c r="K99" i="7" s="1"/>
  <c r="I98" i="7"/>
  <c r="I97" i="7"/>
  <c r="M97" i="7" s="1"/>
  <c r="M96" i="7"/>
  <c r="K96" i="7"/>
  <c r="I96" i="7"/>
  <c r="M95" i="7"/>
  <c r="I95" i="7"/>
  <c r="K95" i="7" s="1"/>
  <c r="I94" i="7"/>
  <c r="I93" i="7"/>
  <c r="M93" i="7" s="1"/>
  <c r="M92" i="7"/>
  <c r="K92" i="7"/>
  <c r="I92" i="7"/>
  <c r="M91" i="7"/>
  <c r="I91" i="7"/>
  <c r="K91" i="7" s="1"/>
  <c r="I90" i="7"/>
  <c r="M89" i="7"/>
  <c r="I89" i="7"/>
  <c r="K89" i="7" s="1"/>
  <c r="M88" i="7"/>
  <c r="K88" i="7"/>
  <c r="I88" i="7"/>
  <c r="M87" i="7"/>
  <c r="I87" i="7"/>
  <c r="K87" i="7" s="1"/>
  <c r="I86" i="7"/>
  <c r="I85" i="7"/>
  <c r="M85" i="7" s="1"/>
  <c r="M84" i="7"/>
  <c r="K84" i="7"/>
  <c r="I84" i="7"/>
  <c r="M83" i="7"/>
  <c r="I83" i="7"/>
  <c r="K83" i="7" s="1"/>
  <c r="I82" i="7"/>
  <c r="I81" i="7"/>
  <c r="M81" i="7" s="1"/>
  <c r="M80" i="7"/>
  <c r="K80" i="7"/>
  <c r="I80" i="7"/>
  <c r="M79" i="7"/>
  <c r="I79" i="7"/>
  <c r="K79" i="7" s="1"/>
  <c r="I78" i="7"/>
  <c r="I77" i="7"/>
  <c r="M77" i="7" s="1"/>
  <c r="M76" i="7"/>
  <c r="K76" i="7"/>
  <c r="I76" i="7"/>
  <c r="M75" i="7"/>
  <c r="I75" i="7"/>
  <c r="K75" i="7" s="1"/>
  <c r="I74" i="7"/>
  <c r="M73" i="7"/>
  <c r="I73" i="7"/>
  <c r="K73" i="7" s="1"/>
  <c r="M72" i="7"/>
  <c r="K72" i="7"/>
  <c r="I72" i="7"/>
  <c r="M71" i="7"/>
  <c r="I71" i="7"/>
  <c r="K71" i="7" s="1"/>
  <c r="I70" i="7"/>
  <c r="I69" i="7"/>
  <c r="M69" i="7" s="1"/>
  <c r="M68" i="7"/>
  <c r="K68" i="7"/>
  <c r="I68" i="7"/>
  <c r="M67" i="7"/>
  <c r="I67" i="7"/>
  <c r="K67" i="7" s="1"/>
  <c r="I66" i="7"/>
  <c r="I65" i="7"/>
  <c r="M65" i="7" s="1"/>
  <c r="M64" i="7"/>
  <c r="K64" i="7"/>
  <c r="I64" i="7"/>
  <c r="M63" i="7"/>
  <c r="I63" i="7"/>
  <c r="K63" i="7" s="1"/>
  <c r="I62" i="7"/>
  <c r="I61" i="7"/>
  <c r="M61" i="7" s="1"/>
  <c r="M60" i="7"/>
  <c r="K60" i="7"/>
  <c r="I60" i="7"/>
  <c r="M59" i="7"/>
  <c r="I59" i="7"/>
  <c r="K59" i="7" s="1"/>
  <c r="I58" i="7"/>
  <c r="M57" i="7"/>
  <c r="K57" i="7"/>
  <c r="I57" i="7"/>
  <c r="M56" i="7"/>
  <c r="K56" i="7"/>
  <c r="I56" i="7"/>
  <c r="M55" i="7"/>
  <c r="I55" i="7"/>
  <c r="K55" i="7" s="1"/>
  <c r="I54" i="7"/>
  <c r="I53" i="7"/>
  <c r="M53" i="7" s="1"/>
  <c r="M52" i="7"/>
  <c r="K52" i="7"/>
  <c r="I52" i="7"/>
  <c r="M51" i="7"/>
  <c r="I51" i="7"/>
  <c r="K51" i="7" s="1"/>
  <c r="I50" i="7"/>
  <c r="I49" i="7"/>
  <c r="M49" i="7" s="1"/>
  <c r="M48" i="7"/>
  <c r="K48" i="7"/>
  <c r="I48" i="7"/>
  <c r="M47" i="7"/>
  <c r="I47" i="7"/>
  <c r="K47" i="7" s="1"/>
  <c r="I46" i="7"/>
  <c r="I45" i="7"/>
  <c r="M45" i="7" s="1"/>
  <c r="M44" i="7"/>
  <c r="K44" i="7"/>
  <c r="I44" i="7"/>
  <c r="M43" i="7"/>
  <c r="I43" i="7"/>
  <c r="K43" i="7" s="1"/>
  <c r="I42" i="7"/>
  <c r="M41" i="7"/>
  <c r="I41" i="7"/>
  <c r="K41" i="7" s="1"/>
  <c r="M40" i="7"/>
  <c r="K40" i="7"/>
  <c r="I40" i="7"/>
  <c r="M39" i="7"/>
  <c r="I39" i="7"/>
  <c r="K39" i="7" s="1"/>
  <c r="I38" i="7"/>
  <c r="I37" i="7"/>
  <c r="M37" i="7" s="1"/>
  <c r="M36" i="7"/>
  <c r="K36" i="7"/>
  <c r="I36" i="7"/>
  <c r="M35" i="7"/>
  <c r="I35" i="7"/>
  <c r="K35" i="7" s="1"/>
  <c r="I34" i="7"/>
  <c r="I33" i="7"/>
  <c r="M33" i="7" s="1"/>
  <c r="M32" i="7"/>
  <c r="K32" i="7"/>
  <c r="I32" i="7"/>
  <c r="M31" i="7"/>
  <c r="I31" i="7"/>
  <c r="K31" i="7" s="1"/>
  <c r="I30" i="7"/>
  <c r="I29" i="7"/>
  <c r="M29" i="7" s="1"/>
  <c r="M28" i="7"/>
  <c r="K28" i="7"/>
  <c r="I28" i="7"/>
  <c r="M27" i="7"/>
  <c r="I27" i="7"/>
  <c r="K27" i="7" s="1"/>
  <c r="I26" i="7"/>
  <c r="M25" i="7"/>
  <c r="I25" i="7"/>
  <c r="K25" i="7" s="1"/>
  <c r="M24" i="7"/>
  <c r="K24" i="7"/>
  <c r="I24" i="7"/>
  <c r="M23" i="7"/>
  <c r="I23" i="7"/>
  <c r="K23" i="7" s="1"/>
  <c r="I22" i="7"/>
  <c r="I21" i="7"/>
  <c r="M21" i="7" s="1"/>
  <c r="M20" i="7"/>
  <c r="K20" i="7"/>
  <c r="I20" i="7"/>
  <c r="M19" i="7"/>
  <c r="I19" i="7"/>
  <c r="K19" i="7" s="1"/>
  <c r="I18" i="7"/>
  <c r="M17" i="7"/>
  <c r="K17" i="7"/>
  <c r="I17" i="7"/>
  <c r="M16" i="7"/>
  <c r="K16" i="7"/>
  <c r="I16" i="7"/>
  <c r="M15" i="7"/>
  <c r="I15" i="7"/>
  <c r="K15" i="7" s="1"/>
  <c r="I14" i="7"/>
  <c r="I13" i="7"/>
  <c r="M13" i="7" s="1"/>
  <c r="M12" i="7"/>
  <c r="K12" i="7"/>
  <c r="I12" i="7"/>
  <c r="M11" i="7"/>
  <c r="I11" i="7"/>
  <c r="K11" i="7" s="1"/>
  <c r="I10" i="7"/>
  <c r="M9" i="7"/>
  <c r="I9" i="7"/>
  <c r="K9" i="7" s="1"/>
  <c r="M8" i="7"/>
  <c r="K8" i="7"/>
  <c r="I8" i="7"/>
  <c r="M7" i="7"/>
  <c r="I7" i="7"/>
  <c r="K7" i="7" s="1"/>
  <c r="I6" i="7"/>
  <c r="I5" i="7"/>
  <c r="M5" i="7" s="1"/>
  <c r="H54" i="6"/>
  <c r="G54" i="6"/>
  <c r="G53" i="6"/>
  <c r="H53" i="6" s="1"/>
  <c r="G52" i="6"/>
  <c r="H52" i="6" s="1"/>
  <c r="G51" i="6"/>
  <c r="H51" i="6" s="1"/>
  <c r="G50" i="6"/>
  <c r="H50" i="6" s="1"/>
  <c r="H49" i="6"/>
  <c r="G49" i="6"/>
  <c r="H48" i="6"/>
  <c r="G48" i="6"/>
  <c r="G47" i="6"/>
  <c r="H47" i="6" s="1"/>
  <c r="G46" i="6"/>
  <c r="H46" i="6" s="1"/>
  <c r="G45" i="6"/>
  <c r="H45" i="6" s="1"/>
  <c r="H44" i="6"/>
  <c r="G44" i="6"/>
  <c r="H43" i="6"/>
  <c r="G43" i="6"/>
  <c r="G42" i="6"/>
  <c r="H42" i="6" s="1"/>
  <c r="G41" i="6"/>
  <c r="H41" i="6" s="1"/>
  <c r="G40" i="6"/>
  <c r="H40" i="6" s="1"/>
  <c r="G39" i="6"/>
  <c r="H39" i="6" s="1"/>
  <c r="H38" i="6"/>
  <c r="G38" i="6"/>
  <c r="G37" i="6"/>
  <c r="H37" i="6" s="1"/>
  <c r="G36" i="6"/>
  <c r="H36" i="6" s="1"/>
  <c r="G35" i="6"/>
  <c r="H35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H25" i="6"/>
  <c r="G25" i="6"/>
  <c r="H24" i="6"/>
  <c r="G24" i="6"/>
  <c r="G23" i="6"/>
  <c r="H23" i="6" s="1"/>
  <c r="G22" i="6"/>
  <c r="H22" i="6" s="1"/>
  <c r="G21" i="6"/>
  <c r="H21" i="6" s="1"/>
  <c r="H20" i="6"/>
  <c r="G20" i="6"/>
  <c r="H19" i="6"/>
  <c r="G19" i="6"/>
  <c r="G18" i="6"/>
  <c r="H18" i="6" s="1"/>
  <c r="G17" i="6"/>
  <c r="H17" i="6" s="1"/>
  <c r="G16" i="6"/>
  <c r="H16" i="6" s="1"/>
  <c r="G15" i="6"/>
  <c r="H15" i="6" s="1"/>
  <c r="H14" i="6"/>
  <c r="G14" i="6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A6" i="5"/>
  <c r="A7" i="5" s="1"/>
  <c r="K5" i="5"/>
  <c r="H5" i="5"/>
  <c r="B5" i="5"/>
  <c r="A5" i="5"/>
  <c r="E5" i="5" s="1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U154" i="3"/>
  <c r="N154" i="3"/>
  <c r="O154" i="3" s="1"/>
  <c r="I154" i="3"/>
  <c r="K154" i="3" s="1"/>
  <c r="M154" i="3" s="1"/>
  <c r="G154" i="3"/>
  <c r="U153" i="3"/>
  <c r="N153" i="3"/>
  <c r="O153" i="3" s="1"/>
  <c r="I153" i="3"/>
  <c r="K153" i="3" s="1"/>
  <c r="M153" i="3" s="1"/>
  <c r="G153" i="3"/>
  <c r="U152" i="3"/>
  <c r="N152" i="3"/>
  <c r="O152" i="3" s="1"/>
  <c r="M152" i="3"/>
  <c r="K152" i="3"/>
  <c r="I152" i="3"/>
  <c r="G152" i="3"/>
  <c r="U151" i="3"/>
  <c r="N151" i="3"/>
  <c r="O151" i="3" s="1"/>
  <c r="K151" i="3"/>
  <c r="M151" i="3" s="1"/>
  <c r="I151" i="3"/>
  <c r="G151" i="3"/>
  <c r="U150" i="3"/>
  <c r="O150" i="3"/>
  <c r="N150" i="3"/>
  <c r="I150" i="3"/>
  <c r="K150" i="3" s="1"/>
  <c r="M150" i="3" s="1"/>
  <c r="G150" i="3"/>
  <c r="U149" i="3"/>
  <c r="N149" i="3"/>
  <c r="O149" i="3" s="1"/>
  <c r="I149" i="3"/>
  <c r="K149" i="3" s="1"/>
  <c r="M149" i="3" s="1"/>
  <c r="G149" i="3"/>
  <c r="U148" i="3"/>
  <c r="N148" i="3"/>
  <c r="O148" i="3" s="1"/>
  <c r="M148" i="3"/>
  <c r="I148" i="3"/>
  <c r="K148" i="3" s="1"/>
  <c r="G148" i="3"/>
  <c r="U147" i="3"/>
  <c r="N147" i="3"/>
  <c r="O147" i="3" s="1"/>
  <c r="K147" i="3"/>
  <c r="M147" i="3" s="1"/>
  <c r="I147" i="3"/>
  <c r="G147" i="3"/>
  <c r="U146" i="3"/>
  <c r="O146" i="3"/>
  <c r="N146" i="3"/>
  <c r="I146" i="3"/>
  <c r="K146" i="3" s="1"/>
  <c r="M146" i="3" s="1"/>
  <c r="G146" i="3"/>
  <c r="U145" i="3"/>
  <c r="N145" i="3"/>
  <c r="O145" i="3" s="1"/>
  <c r="I145" i="3"/>
  <c r="K145" i="3" s="1"/>
  <c r="M145" i="3" s="1"/>
  <c r="G145" i="3"/>
  <c r="U144" i="3"/>
  <c r="N144" i="3"/>
  <c r="O144" i="3" s="1"/>
  <c r="M144" i="3"/>
  <c r="I144" i="3"/>
  <c r="K144" i="3" s="1"/>
  <c r="G144" i="3"/>
  <c r="U143" i="3"/>
  <c r="O143" i="3"/>
  <c r="N143" i="3"/>
  <c r="K143" i="3"/>
  <c r="M143" i="3" s="1"/>
  <c r="I143" i="3"/>
  <c r="G143" i="3"/>
  <c r="U142" i="3"/>
  <c r="O142" i="3"/>
  <c r="N142" i="3"/>
  <c r="I142" i="3"/>
  <c r="K142" i="3" s="1"/>
  <c r="M142" i="3" s="1"/>
  <c r="G142" i="3"/>
  <c r="U141" i="3"/>
  <c r="N141" i="3"/>
  <c r="O141" i="3" s="1"/>
  <c r="K141" i="3"/>
  <c r="M141" i="3" s="1"/>
  <c r="I141" i="3"/>
  <c r="G141" i="3"/>
  <c r="U140" i="3"/>
  <c r="O140" i="3"/>
  <c r="N140" i="3"/>
  <c r="M140" i="3"/>
  <c r="K140" i="3"/>
  <c r="I140" i="3"/>
  <c r="G140" i="3"/>
  <c r="U139" i="3"/>
  <c r="N139" i="3"/>
  <c r="O139" i="3" s="1"/>
  <c r="M139" i="3"/>
  <c r="K139" i="3"/>
  <c r="I139" i="3"/>
  <c r="G139" i="3"/>
  <c r="U138" i="3"/>
  <c r="O138" i="3"/>
  <c r="N138" i="3"/>
  <c r="I138" i="3"/>
  <c r="K138" i="3" s="1"/>
  <c r="M138" i="3" s="1"/>
  <c r="G138" i="3"/>
  <c r="U137" i="3"/>
  <c r="N137" i="3"/>
  <c r="O137" i="3" s="1"/>
  <c r="I137" i="3"/>
  <c r="K137" i="3" s="1"/>
  <c r="M137" i="3" s="1"/>
  <c r="G137" i="3"/>
  <c r="U136" i="3"/>
  <c r="N136" i="3"/>
  <c r="O136" i="3" s="1"/>
  <c r="I136" i="3"/>
  <c r="K136" i="3" s="1"/>
  <c r="M136" i="3" s="1"/>
  <c r="G136" i="3"/>
  <c r="U135" i="3"/>
  <c r="N135" i="3"/>
  <c r="O135" i="3" s="1"/>
  <c r="K135" i="3"/>
  <c r="M135" i="3" s="1"/>
  <c r="I135" i="3"/>
  <c r="G135" i="3"/>
  <c r="U134" i="3"/>
  <c r="O134" i="3"/>
  <c r="N134" i="3"/>
  <c r="I134" i="3"/>
  <c r="K134" i="3" s="1"/>
  <c r="M134" i="3" s="1"/>
  <c r="G134" i="3"/>
  <c r="U133" i="3"/>
  <c r="N133" i="3"/>
  <c r="O133" i="3" s="1"/>
  <c r="I133" i="3"/>
  <c r="K133" i="3" s="1"/>
  <c r="M133" i="3" s="1"/>
  <c r="G133" i="3"/>
  <c r="U132" i="3"/>
  <c r="O132" i="3"/>
  <c r="N132" i="3"/>
  <c r="I132" i="3"/>
  <c r="K132" i="3" s="1"/>
  <c r="M132" i="3" s="1"/>
  <c r="G132" i="3"/>
  <c r="U131" i="3"/>
  <c r="O131" i="3"/>
  <c r="N131" i="3"/>
  <c r="M131" i="3"/>
  <c r="K131" i="3"/>
  <c r="I131" i="3"/>
  <c r="G131" i="3"/>
  <c r="U130" i="3"/>
  <c r="O130" i="3"/>
  <c r="N130" i="3"/>
  <c r="K130" i="3"/>
  <c r="M130" i="3" s="1"/>
  <c r="I130" i="3"/>
  <c r="G130" i="3"/>
  <c r="U129" i="3"/>
  <c r="O129" i="3"/>
  <c r="N129" i="3"/>
  <c r="I129" i="3"/>
  <c r="K129" i="3" s="1"/>
  <c r="M129" i="3" s="1"/>
  <c r="G129" i="3"/>
  <c r="U128" i="3"/>
  <c r="N128" i="3"/>
  <c r="O128" i="3" s="1"/>
  <c r="M128" i="3"/>
  <c r="K128" i="3"/>
  <c r="I128" i="3"/>
  <c r="G128" i="3"/>
  <c r="U127" i="3"/>
  <c r="N127" i="3"/>
  <c r="O127" i="3" s="1"/>
  <c r="K127" i="3"/>
  <c r="M127" i="3" s="1"/>
  <c r="I127" i="3"/>
  <c r="G127" i="3"/>
  <c r="U126" i="3"/>
  <c r="O126" i="3"/>
  <c r="N126" i="3"/>
  <c r="I126" i="3"/>
  <c r="K126" i="3" s="1"/>
  <c r="M126" i="3" s="1"/>
  <c r="G126" i="3"/>
  <c r="U125" i="3"/>
  <c r="N125" i="3"/>
  <c r="O125" i="3" s="1"/>
  <c r="I125" i="3"/>
  <c r="K125" i="3" s="1"/>
  <c r="M125" i="3" s="1"/>
  <c r="G125" i="3"/>
  <c r="U124" i="3"/>
  <c r="N124" i="3"/>
  <c r="O124" i="3" s="1"/>
  <c r="M124" i="3"/>
  <c r="I124" i="3"/>
  <c r="K124" i="3" s="1"/>
  <c r="G124" i="3"/>
  <c r="U123" i="3"/>
  <c r="N123" i="3"/>
  <c r="O123" i="3" s="1"/>
  <c r="K123" i="3"/>
  <c r="M123" i="3" s="1"/>
  <c r="I123" i="3"/>
  <c r="G123" i="3"/>
  <c r="U122" i="3"/>
  <c r="O122" i="3"/>
  <c r="N122" i="3"/>
  <c r="I122" i="3"/>
  <c r="K122" i="3" s="1"/>
  <c r="M122" i="3" s="1"/>
  <c r="G122" i="3"/>
  <c r="U121" i="3"/>
  <c r="N121" i="3"/>
  <c r="O121" i="3" s="1"/>
  <c r="I121" i="3"/>
  <c r="K121" i="3" s="1"/>
  <c r="M121" i="3" s="1"/>
  <c r="G121" i="3"/>
  <c r="U120" i="3"/>
  <c r="N120" i="3"/>
  <c r="O120" i="3" s="1"/>
  <c r="M120" i="3"/>
  <c r="I120" i="3"/>
  <c r="K120" i="3" s="1"/>
  <c r="G120" i="3"/>
  <c r="U119" i="3"/>
  <c r="O119" i="3"/>
  <c r="N119" i="3"/>
  <c r="K119" i="3"/>
  <c r="M119" i="3" s="1"/>
  <c r="I119" i="3"/>
  <c r="G119" i="3"/>
  <c r="U118" i="3"/>
  <c r="O118" i="3"/>
  <c r="N118" i="3"/>
  <c r="I118" i="3"/>
  <c r="K118" i="3" s="1"/>
  <c r="M118" i="3" s="1"/>
  <c r="G118" i="3"/>
  <c r="U117" i="3"/>
  <c r="N117" i="3"/>
  <c r="O117" i="3" s="1"/>
  <c r="K117" i="3"/>
  <c r="M117" i="3" s="1"/>
  <c r="I117" i="3"/>
  <c r="G117" i="3"/>
  <c r="U116" i="3"/>
  <c r="O116" i="3"/>
  <c r="N116" i="3"/>
  <c r="M116" i="3"/>
  <c r="K116" i="3"/>
  <c r="I116" i="3"/>
  <c r="G116" i="3"/>
  <c r="U115" i="3"/>
  <c r="N115" i="3"/>
  <c r="O115" i="3" s="1"/>
  <c r="M115" i="3"/>
  <c r="K115" i="3"/>
  <c r="I115" i="3"/>
  <c r="G115" i="3"/>
  <c r="U114" i="3"/>
  <c r="O114" i="3"/>
  <c r="N114" i="3"/>
  <c r="I114" i="3"/>
  <c r="K114" i="3" s="1"/>
  <c r="M114" i="3" s="1"/>
  <c r="G114" i="3"/>
  <c r="U113" i="3"/>
  <c r="N113" i="3"/>
  <c r="O113" i="3" s="1"/>
  <c r="K113" i="3"/>
  <c r="M113" i="3" s="1"/>
  <c r="I113" i="3"/>
  <c r="G113" i="3"/>
  <c r="U112" i="3"/>
  <c r="N112" i="3"/>
  <c r="O112" i="3" s="1"/>
  <c r="I112" i="3"/>
  <c r="K112" i="3" s="1"/>
  <c r="M112" i="3" s="1"/>
  <c r="G112" i="3"/>
  <c r="U111" i="3"/>
  <c r="N111" i="3"/>
  <c r="O111" i="3" s="1"/>
  <c r="K111" i="3"/>
  <c r="M111" i="3" s="1"/>
  <c r="I111" i="3"/>
  <c r="G111" i="3"/>
  <c r="U110" i="3"/>
  <c r="O110" i="3"/>
  <c r="N110" i="3"/>
  <c r="I110" i="3"/>
  <c r="K110" i="3" s="1"/>
  <c r="M110" i="3" s="1"/>
  <c r="G110" i="3"/>
  <c r="U109" i="3"/>
  <c r="N109" i="3"/>
  <c r="O109" i="3" s="1"/>
  <c r="I109" i="3"/>
  <c r="K109" i="3" s="1"/>
  <c r="M109" i="3" s="1"/>
  <c r="G109" i="3"/>
  <c r="U108" i="3"/>
  <c r="O108" i="3"/>
  <c r="N108" i="3"/>
  <c r="I108" i="3"/>
  <c r="K108" i="3" s="1"/>
  <c r="M108" i="3" s="1"/>
  <c r="G108" i="3"/>
  <c r="U107" i="3"/>
  <c r="O107" i="3"/>
  <c r="N107" i="3"/>
  <c r="M107" i="3"/>
  <c r="K107" i="3"/>
  <c r="I107" i="3"/>
  <c r="G107" i="3"/>
  <c r="U106" i="3"/>
  <c r="O106" i="3"/>
  <c r="N106" i="3"/>
  <c r="K106" i="3"/>
  <c r="M106" i="3" s="1"/>
  <c r="I106" i="3"/>
  <c r="G106" i="3"/>
  <c r="U105" i="3"/>
  <c r="O105" i="3"/>
  <c r="N105" i="3"/>
  <c r="I105" i="3"/>
  <c r="K105" i="3" s="1"/>
  <c r="M105" i="3" s="1"/>
  <c r="G105" i="3"/>
  <c r="U104" i="3"/>
  <c r="N104" i="3"/>
  <c r="O104" i="3" s="1"/>
  <c r="M104" i="3"/>
  <c r="K104" i="3"/>
  <c r="I104" i="3"/>
  <c r="G104" i="3"/>
  <c r="U103" i="3"/>
  <c r="N103" i="3"/>
  <c r="O103" i="3" s="1"/>
  <c r="K103" i="3"/>
  <c r="M103" i="3" s="1"/>
  <c r="I103" i="3"/>
  <c r="G103" i="3"/>
  <c r="U102" i="3"/>
  <c r="O102" i="3"/>
  <c r="N102" i="3"/>
  <c r="I102" i="3"/>
  <c r="K102" i="3" s="1"/>
  <c r="M102" i="3" s="1"/>
  <c r="G102" i="3"/>
  <c r="U101" i="3"/>
  <c r="O101" i="3"/>
  <c r="N101" i="3"/>
  <c r="I101" i="3"/>
  <c r="K101" i="3" s="1"/>
  <c r="M101" i="3" s="1"/>
  <c r="G101" i="3"/>
  <c r="U100" i="3"/>
  <c r="N100" i="3"/>
  <c r="O100" i="3" s="1"/>
  <c r="M100" i="3"/>
  <c r="I100" i="3"/>
  <c r="K100" i="3" s="1"/>
  <c r="G100" i="3"/>
  <c r="U99" i="3"/>
  <c r="N99" i="3"/>
  <c r="O99" i="3" s="1"/>
  <c r="M99" i="3"/>
  <c r="K99" i="3"/>
  <c r="I99" i="3"/>
  <c r="G99" i="3"/>
  <c r="U98" i="3"/>
  <c r="O98" i="3"/>
  <c r="N98" i="3"/>
  <c r="I98" i="3"/>
  <c r="K98" i="3" s="1"/>
  <c r="M98" i="3" s="1"/>
  <c r="G98" i="3"/>
  <c r="U97" i="3"/>
  <c r="O97" i="3"/>
  <c r="N97" i="3"/>
  <c r="I97" i="3"/>
  <c r="K97" i="3" s="1"/>
  <c r="M97" i="3" s="1"/>
  <c r="G97" i="3"/>
  <c r="U96" i="3"/>
  <c r="N96" i="3"/>
  <c r="O96" i="3" s="1"/>
  <c r="M96" i="3"/>
  <c r="I96" i="3"/>
  <c r="K96" i="3" s="1"/>
  <c r="G96" i="3"/>
  <c r="U95" i="3"/>
  <c r="O95" i="3"/>
  <c r="N95" i="3"/>
  <c r="K95" i="3"/>
  <c r="M95" i="3" s="1"/>
  <c r="I95" i="3"/>
  <c r="G95" i="3"/>
  <c r="U94" i="3"/>
  <c r="O94" i="3"/>
  <c r="N94" i="3"/>
  <c r="I94" i="3"/>
  <c r="K94" i="3" s="1"/>
  <c r="M94" i="3" s="1"/>
  <c r="G94" i="3"/>
  <c r="U93" i="3"/>
  <c r="N93" i="3"/>
  <c r="O93" i="3" s="1"/>
  <c r="K93" i="3"/>
  <c r="M93" i="3" s="1"/>
  <c r="I93" i="3"/>
  <c r="G93" i="3"/>
  <c r="U92" i="3"/>
  <c r="O92" i="3"/>
  <c r="N92" i="3"/>
  <c r="M92" i="3"/>
  <c r="K92" i="3"/>
  <c r="I92" i="3"/>
  <c r="G92" i="3"/>
  <c r="U91" i="3"/>
  <c r="N91" i="3"/>
  <c r="O91" i="3" s="1"/>
  <c r="M91" i="3"/>
  <c r="K91" i="3"/>
  <c r="I91" i="3"/>
  <c r="G91" i="3"/>
  <c r="U90" i="3"/>
  <c r="O90" i="3"/>
  <c r="N90" i="3"/>
  <c r="I90" i="3"/>
  <c r="K90" i="3" s="1"/>
  <c r="M90" i="3" s="1"/>
  <c r="G90" i="3"/>
  <c r="U89" i="3"/>
  <c r="N89" i="3"/>
  <c r="O89" i="3" s="1"/>
  <c r="I89" i="3"/>
  <c r="K89" i="3" s="1"/>
  <c r="M89" i="3" s="1"/>
  <c r="G89" i="3"/>
  <c r="U88" i="3"/>
  <c r="N88" i="3"/>
  <c r="O88" i="3" s="1"/>
  <c r="I88" i="3"/>
  <c r="K88" i="3" s="1"/>
  <c r="M88" i="3" s="1"/>
  <c r="G88" i="3"/>
  <c r="U87" i="3"/>
  <c r="N87" i="3"/>
  <c r="O87" i="3" s="1"/>
  <c r="K87" i="3"/>
  <c r="M87" i="3" s="1"/>
  <c r="I87" i="3"/>
  <c r="G87" i="3"/>
  <c r="U86" i="3"/>
  <c r="O86" i="3"/>
  <c r="N86" i="3"/>
  <c r="I86" i="3"/>
  <c r="K86" i="3" s="1"/>
  <c r="M86" i="3" s="1"/>
  <c r="G86" i="3"/>
  <c r="U85" i="3"/>
  <c r="N85" i="3"/>
  <c r="O85" i="3" s="1"/>
  <c r="I85" i="3"/>
  <c r="K85" i="3" s="1"/>
  <c r="M85" i="3" s="1"/>
  <c r="G85" i="3"/>
  <c r="U84" i="3"/>
  <c r="O84" i="3"/>
  <c r="N84" i="3"/>
  <c r="I84" i="3"/>
  <c r="K84" i="3" s="1"/>
  <c r="M84" i="3" s="1"/>
  <c r="G84" i="3"/>
  <c r="U83" i="3"/>
  <c r="O83" i="3"/>
  <c r="N83" i="3"/>
  <c r="M83" i="3"/>
  <c r="K83" i="3"/>
  <c r="I83" i="3"/>
  <c r="G83" i="3"/>
  <c r="U82" i="3"/>
  <c r="O82" i="3"/>
  <c r="N82" i="3"/>
  <c r="K82" i="3"/>
  <c r="M82" i="3" s="1"/>
  <c r="I82" i="3"/>
  <c r="G82" i="3"/>
  <c r="U81" i="3"/>
  <c r="O81" i="3"/>
  <c r="N81" i="3"/>
  <c r="I81" i="3"/>
  <c r="K81" i="3" s="1"/>
  <c r="M81" i="3" s="1"/>
  <c r="G81" i="3"/>
  <c r="U80" i="3"/>
  <c r="N80" i="3"/>
  <c r="O80" i="3" s="1"/>
  <c r="M80" i="3"/>
  <c r="K80" i="3"/>
  <c r="I80" i="3"/>
  <c r="G80" i="3"/>
  <c r="U79" i="3"/>
  <c r="N79" i="3"/>
  <c r="O79" i="3" s="1"/>
  <c r="I79" i="3"/>
  <c r="K79" i="3" s="1"/>
  <c r="M79" i="3" s="1"/>
  <c r="G79" i="3"/>
  <c r="U78" i="3"/>
  <c r="O78" i="3"/>
  <c r="N78" i="3"/>
  <c r="K78" i="3"/>
  <c r="M78" i="3" s="1"/>
  <c r="I78" i="3"/>
  <c r="G78" i="3"/>
  <c r="U77" i="3"/>
  <c r="N77" i="3"/>
  <c r="O77" i="3" s="1"/>
  <c r="K77" i="3"/>
  <c r="M77" i="3" s="1"/>
  <c r="I77" i="3"/>
  <c r="G77" i="3"/>
  <c r="U76" i="3"/>
  <c r="N76" i="3"/>
  <c r="O76" i="3" s="1"/>
  <c r="I76" i="3"/>
  <c r="K76" i="3" s="1"/>
  <c r="M76" i="3" s="1"/>
  <c r="G76" i="3"/>
  <c r="U75" i="3"/>
  <c r="N75" i="3"/>
  <c r="O75" i="3" s="1"/>
  <c r="K75" i="3"/>
  <c r="M75" i="3" s="1"/>
  <c r="I75" i="3"/>
  <c r="G75" i="3"/>
  <c r="U74" i="3"/>
  <c r="O74" i="3"/>
  <c r="N74" i="3"/>
  <c r="I74" i="3"/>
  <c r="K74" i="3" s="1"/>
  <c r="M74" i="3" s="1"/>
  <c r="G74" i="3"/>
  <c r="U73" i="3"/>
  <c r="N73" i="3"/>
  <c r="O73" i="3" s="1"/>
  <c r="I73" i="3"/>
  <c r="K73" i="3" s="1"/>
  <c r="M73" i="3" s="1"/>
  <c r="G73" i="3"/>
  <c r="U72" i="3"/>
  <c r="O72" i="3"/>
  <c r="N72" i="3"/>
  <c r="I72" i="3"/>
  <c r="K72" i="3" s="1"/>
  <c r="M72" i="3" s="1"/>
  <c r="G72" i="3"/>
  <c r="U71" i="3"/>
  <c r="O71" i="3"/>
  <c r="N71" i="3"/>
  <c r="M71" i="3"/>
  <c r="K71" i="3"/>
  <c r="I71" i="3"/>
  <c r="G71" i="3"/>
  <c r="U70" i="3"/>
  <c r="N70" i="3"/>
  <c r="O70" i="3" s="1"/>
  <c r="I70" i="3"/>
  <c r="K70" i="3" s="1"/>
  <c r="M70" i="3" s="1"/>
  <c r="G70" i="3"/>
  <c r="U69" i="3"/>
  <c r="O69" i="3"/>
  <c r="N69" i="3"/>
  <c r="I69" i="3"/>
  <c r="K69" i="3" s="1"/>
  <c r="M69" i="3" s="1"/>
  <c r="G69" i="3"/>
  <c r="U68" i="3"/>
  <c r="N68" i="3"/>
  <c r="O68" i="3" s="1"/>
  <c r="K68" i="3"/>
  <c r="M68" i="3" s="1"/>
  <c r="I68" i="3"/>
  <c r="G68" i="3"/>
  <c r="U67" i="3"/>
  <c r="N67" i="3"/>
  <c r="O67" i="3" s="1"/>
  <c r="K67" i="3"/>
  <c r="M67" i="3" s="1"/>
  <c r="I67" i="3"/>
  <c r="G67" i="3"/>
  <c r="U66" i="3"/>
  <c r="O66" i="3"/>
  <c r="N66" i="3"/>
  <c r="I66" i="3"/>
  <c r="K66" i="3" s="1"/>
  <c r="M66" i="3" s="1"/>
  <c r="G66" i="3"/>
  <c r="U65" i="3"/>
  <c r="N65" i="3"/>
  <c r="O65" i="3" s="1"/>
  <c r="M65" i="3"/>
  <c r="K65" i="3"/>
  <c r="I65" i="3"/>
  <c r="G65" i="3"/>
  <c r="U64" i="3"/>
  <c r="N64" i="3"/>
  <c r="O64" i="3" s="1"/>
  <c r="I64" i="3"/>
  <c r="K64" i="3" s="1"/>
  <c r="M64" i="3" s="1"/>
  <c r="G64" i="3"/>
  <c r="U63" i="3"/>
  <c r="N63" i="3"/>
  <c r="O63" i="3" s="1"/>
  <c r="M63" i="3"/>
  <c r="K63" i="3"/>
  <c r="I63" i="3"/>
  <c r="G63" i="3"/>
  <c r="U62" i="3"/>
  <c r="O62" i="3"/>
  <c r="N62" i="3"/>
  <c r="K62" i="3"/>
  <c r="M62" i="3" s="1"/>
  <c r="I62" i="3"/>
  <c r="G62" i="3"/>
  <c r="U61" i="3"/>
  <c r="O61" i="3"/>
  <c r="N61" i="3"/>
  <c r="I61" i="3"/>
  <c r="K61" i="3" s="1"/>
  <c r="M61" i="3" s="1"/>
  <c r="G61" i="3"/>
  <c r="U60" i="3"/>
  <c r="N60" i="3"/>
  <c r="O60" i="3" s="1"/>
  <c r="M60" i="3"/>
  <c r="K60" i="3"/>
  <c r="I60" i="3"/>
  <c r="G60" i="3"/>
  <c r="U59" i="3"/>
  <c r="O59" i="3"/>
  <c r="N59" i="3"/>
  <c r="K59" i="3"/>
  <c r="M59" i="3" s="1"/>
  <c r="I59" i="3"/>
  <c r="G59" i="3"/>
  <c r="U58" i="3"/>
  <c r="O58" i="3"/>
  <c r="N58" i="3"/>
  <c r="I58" i="3"/>
  <c r="K58" i="3" s="1"/>
  <c r="M58" i="3" s="1"/>
  <c r="G58" i="3"/>
  <c r="U57" i="3"/>
  <c r="N57" i="3"/>
  <c r="O57" i="3" s="1"/>
  <c r="I57" i="3"/>
  <c r="K57" i="3" s="1"/>
  <c r="M57" i="3" s="1"/>
  <c r="G57" i="3"/>
  <c r="U56" i="3"/>
  <c r="O56" i="3"/>
  <c r="N56" i="3"/>
  <c r="K56" i="3"/>
  <c r="M56" i="3" s="1"/>
  <c r="I56" i="3"/>
  <c r="G56" i="3"/>
  <c r="U55" i="3"/>
  <c r="N55" i="3"/>
  <c r="O55" i="3" s="1"/>
  <c r="I55" i="3"/>
  <c r="K55" i="3" s="1"/>
  <c r="M55" i="3" s="1"/>
  <c r="G55" i="3"/>
  <c r="U54" i="3"/>
  <c r="N54" i="3"/>
  <c r="O54" i="3" s="1"/>
  <c r="K54" i="3"/>
  <c r="M54" i="3" s="1"/>
  <c r="I54" i="3"/>
  <c r="G54" i="3"/>
  <c r="U53" i="3"/>
  <c r="O53" i="3"/>
  <c r="N53" i="3"/>
  <c r="I53" i="3"/>
  <c r="K53" i="3" s="1"/>
  <c r="M53" i="3" s="1"/>
  <c r="G53" i="3"/>
  <c r="U52" i="3"/>
  <c r="N52" i="3"/>
  <c r="O52" i="3" s="1"/>
  <c r="M52" i="3"/>
  <c r="I52" i="3"/>
  <c r="K52" i="3" s="1"/>
  <c r="G52" i="3"/>
  <c r="U51" i="3"/>
  <c r="O51" i="3"/>
  <c r="N51" i="3"/>
  <c r="I51" i="3"/>
  <c r="K51" i="3" s="1"/>
  <c r="M51" i="3" s="1"/>
  <c r="G51" i="3"/>
  <c r="U50" i="3"/>
  <c r="O50" i="3"/>
  <c r="N50" i="3"/>
  <c r="I50" i="3"/>
  <c r="K50" i="3" s="1"/>
  <c r="M50" i="3" s="1"/>
  <c r="G50" i="3"/>
  <c r="U49" i="3"/>
  <c r="N49" i="3"/>
  <c r="O49" i="3" s="1"/>
  <c r="M49" i="3"/>
  <c r="I49" i="3"/>
  <c r="K49" i="3" s="1"/>
  <c r="G49" i="3"/>
  <c r="U48" i="3"/>
  <c r="O48" i="3"/>
  <c r="N48" i="3"/>
  <c r="I48" i="3"/>
  <c r="K48" i="3" s="1"/>
  <c r="M48" i="3" s="1"/>
  <c r="G48" i="3"/>
  <c r="U47" i="3"/>
  <c r="O47" i="3"/>
  <c r="N47" i="3"/>
  <c r="M47" i="3"/>
  <c r="K47" i="3"/>
  <c r="I47" i="3"/>
  <c r="G47" i="3"/>
  <c r="U46" i="3"/>
  <c r="N46" i="3"/>
  <c r="O46" i="3" s="1"/>
  <c r="I46" i="3"/>
  <c r="K46" i="3" s="1"/>
  <c r="M46" i="3" s="1"/>
  <c r="G46" i="3"/>
  <c r="U45" i="3"/>
  <c r="O45" i="3"/>
  <c r="N45" i="3"/>
  <c r="I45" i="3"/>
  <c r="K45" i="3" s="1"/>
  <c r="M45" i="3" s="1"/>
  <c r="G45" i="3"/>
  <c r="U44" i="3"/>
  <c r="N44" i="3"/>
  <c r="O44" i="3" s="1"/>
  <c r="I44" i="3"/>
  <c r="K44" i="3" s="1"/>
  <c r="M44" i="3" s="1"/>
  <c r="G44" i="3"/>
  <c r="U43" i="3"/>
  <c r="N43" i="3"/>
  <c r="O43" i="3" s="1"/>
  <c r="K43" i="3"/>
  <c r="M43" i="3" s="1"/>
  <c r="I43" i="3"/>
  <c r="G43" i="3"/>
  <c r="U42" i="3"/>
  <c r="O42" i="3"/>
  <c r="N42" i="3"/>
  <c r="I42" i="3"/>
  <c r="K42" i="3" s="1"/>
  <c r="M42" i="3" s="1"/>
  <c r="G42" i="3"/>
  <c r="U41" i="3"/>
  <c r="N41" i="3"/>
  <c r="O41" i="3" s="1"/>
  <c r="I41" i="3"/>
  <c r="K41" i="3" s="1"/>
  <c r="M41" i="3" s="1"/>
  <c r="G41" i="3"/>
  <c r="U40" i="3"/>
  <c r="N40" i="3"/>
  <c r="O40" i="3" s="1"/>
  <c r="M40" i="3"/>
  <c r="I40" i="3"/>
  <c r="K40" i="3" s="1"/>
  <c r="G40" i="3"/>
  <c r="U39" i="3"/>
  <c r="O39" i="3"/>
  <c r="N39" i="3"/>
  <c r="I39" i="3"/>
  <c r="K39" i="3" s="1"/>
  <c r="M39" i="3" s="1"/>
  <c r="G39" i="3"/>
  <c r="U38" i="3"/>
  <c r="O38" i="3"/>
  <c r="N38" i="3"/>
  <c r="I38" i="3"/>
  <c r="K38" i="3" s="1"/>
  <c r="M38" i="3" s="1"/>
  <c r="G38" i="3"/>
  <c r="U37" i="3"/>
  <c r="N37" i="3"/>
  <c r="O37" i="3" s="1"/>
  <c r="I37" i="3"/>
  <c r="K37" i="3" s="1"/>
  <c r="M37" i="3" s="1"/>
  <c r="G37" i="3"/>
  <c r="U36" i="3"/>
  <c r="O36" i="3"/>
  <c r="N36" i="3"/>
  <c r="K36" i="3"/>
  <c r="M36" i="3" s="1"/>
  <c r="I36" i="3"/>
  <c r="G36" i="3"/>
  <c r="U35" i="3"/>
  <c r="O35" i="3"/>
  <c r="N35" i="3"/>
  <c r="K35" i="3"/>
  <c r="M35" i="3" s="1"/>
  <c r="I35" i="3"/>
  <c r="G35" i="3"/>
  <c r="U34" i="3"/>
  <c r="N34" i="3"/>
  <c r="O34" i="3" s="1"/>
  <c r="I34" i="3"/>
  <c r="K34" i="3" s="1"/>
  <c r="M34" i="3" s="1"/>
  <c r="G34" i="3"/>
  <c r="U33" i="3"/>
  <c r="N33" i="3"/>
  <c r="O33" i="3" s="1"/>
  <c r="K33" i="3"/>
  <c r="M33" i="3" s="1"/>
  <c r="I33" i="3"/>
  <c r="G33" i="3"/>
  <c r="U32" i="3"/>
  <c r="O32" i="3"/>
  <c r="N32" i="3"/>
  <c r="I32" i="3"/>
  <c r="K32" i="3" s="1"/>
  <c r="M32" i="3" s="1"/>
  <c r="G32" i="3"/>
  <c r="U31" i="3"/>
  <c r="N31" i="3"/>
  <c r="O31" i="3" s="1"/>
  <c r="M31" i="3"/>
  <c r="K31" i="3"/>
  <c r="I31" i="3"/>
  <c r="G31" i="3"/>
  <c r="U30" i="3"/>
  <c r="O30" i="3"/>
  <c r="N30" i="3"/>
  <c r="K30" i="3"/>
  <c r="M30" i="3" s="1"/>
  <c r="I30" i="3"/>
  <c r="G30" i="3"/>
  <c r="U29" i="3"/>
  <c r="O29" i="3"/>
  <c r="N29" i="3"/>
  <c r="I29" i="3"/>
  <c r="K29" i="3" s="1"/>
  <c r="M29" i="3" s="1"/>
  <c r="G29" i="3"/>
  <c r="U28" i="3"/>
  <c r="N28" i="3"/>
  <c r="O28" i="3" s="1"/>
  <c r="I28" i="3"/>
  <c r="K28" i="3" s="1"/>
  <c r="M28" i="3" s="1"/>
  <c r="G28" i="3"/>
  <c r="U27" i="3"/>
  <c r="O27" i="3"/>
  <c r="N27" i="3"/>
  <c r="K27" i="3"/>
  <c r="M27" i="3" s="1"/>
  <c r="I27" i="3"/>
  <c r="G27" i="3"/>
  <c r="U26" i="3"/>
  <c r="O26" i="3"/>
  <c r="N26" i="3"/>
  <c r="I26" i="3"/>
  <c r="K26" i="3" s="1"/>
  <c r="M26" i="3" s="1"/>
  <c r="G26" i="3"/>
  <c r="U25" i="3"/>
  <c r="N25" i="3"/>
  <c r="O25" i="3" s="1"/>
  <c r="I25" i="3"/>
  <c r="K25" i="3" s="1"/>
  <c r="M25" i="3" s="1"/>
  <c r="G25" i="3"/>
  <c r="U24" i="3"/>
  <c r="N24" i="3"/>
  <c r="O24" i="3" s="1"/>
  <c r="M24" i="3"/>
  <c r="K24" i="3"/>
  <c r="I24" i="3"/>
  <c r="G24" i="3"/>
  <c r="U23" i="3"/>
  <c r="O23" i="3"/>
  <c r="N23" i="3"/>
  <c r="K23" i="3"/>
  <c r="M23" i="3" s="1"/>
  <c r="I23" i="3"/>
  <c r="G23" i="3"/>
  <c r="U22" i="3"/>
  <c r="O22" i="3"/>
  <c r="N22" i="3"/>
  <c r="I22" i="3"/>
  <c r="K22" i="3" s="1"/>
  <c r="M22" i="3" s="1"/>
  <c r="G22" i="3"/>
  <c r="U21" i="3"/>
  <c r="N21" i="3"/>
  <c r="O21" i="3" s="1"/>
  <c r="I21" i="3"/>
  <c r="K21" i="3" s="1"/>
  <c r="M21" i="3" s="1"/>
  <c r="G21" i="3"/>
  <c r="U20" i="3"/>
  <c r="O20" i="3"/>
  <c r="N20" i="3"/>
  <c r="K20" i="3"/>
  <c r="M20" i="3" s="1"/>
  <c r="I20" i="3"/>
  <c r="G20" i="3"/>
  <c r="U19" i="3"/>
  <c r="N19" i="3"/>
  <c r="O19" i="3" s="1"/>
  <c r="I19" i="3"/>
  <c r="K19" i="3" s="1"/>
  <c r="M19" i="3" s="1"/>
  <c r="G19" i="3"/>
  <c r="U18" i="3"/>
  <c r="N18" i="3"/>
  <c r="O18" i="3" s="1"/>
  <c r="M18" i="3"/>
  <c r="K18" i="3"/>
  <c r="I18" i="3"/>
  <c r="G18" i="3"/>
  <c r="U17" i="3"/>
  <c r="N17" i="3"/>
  <c r="O17" i="3" s="1"/>
  <c r="K17" i="3"/>
  <c r="M17" i="3" s="1"/>
  <c r="I17" i="3"/>
  <c r="G17" i="3"/>
  <c r="U16" i="3"/>
  <c r="O16" i="3"/>
  <c r="N16" i="3"/>
  <c r="I16" i="3"/>
  <c r="K16" i="3" s="1"/>
  <c r="M16" i="3" s="1"/>
  <c r="G16" i="3"/>
  <c r="U15" i="3"/>
  <c r="N15" i="3"/>
  <c r="O15" i="3" s="1"/>
  <c r="I15" i="3"/>
  <c r="K15" i="3" s="1"/>
  <c r="M15" i="3" s="1"/>
  <c r="G15" i="3"/>
  <c r="U14" i="3"/>
  <c r="N14" i="3"/>
  <c r="O14" i="3" s="1"/>
  <c r="I14" i="3"/>
  <c r="K14" i="3" s="1"/>
  <c r="M14" i="3" s="1"/>
  <c r="G14" i="3"/>
  <c r="U13" i="3"/>
  <c r="O13" i="3"/>
  <c r="N13" i="3"/>
  <c r="K13" i="3"/>
  <c r="M13" i="3" s="1"/>
  <c r="I13" i="3"/>
  <c r="G13" i="3"/>
  <c r="U12" i="3"/>
  <c r="O12" i="3"/>
  <c r="N12" i="3"/>
  <c r="I12" i="3"/>
  <c r="K12" i="3" s="1"/>
  <c r="M12" i="3" s="1"/>
  <c r="G12" i="3"/>
  <c r="U11" i="3"/>
  <c r="N11" i="3"/>
  <c r="O11" i="3" s="1"/>
  <c r="I11" i="3"/>
  <c r="K11" i="3" s="1"/>
  <c r="M11" i="3" s="1"/>
  <c r="G11" i="3"/>
  <c r="U10" i="3"/>
  <c r="N10" i="3"/>
  <c r="O10" i="3" s="1"/>
  <c r="M10" i="3"/>
  <c r="K10" i="3"/>
  <c r="I10" i="3"/>
  <c r="G10" i="3"/>
  <c r="U9" i="3"/>
  <c r="O9" i="3"/>
  <c r="N9" i="3"/>
  <c r="K9" i="3"/>
  <c r="M9" i="3" s="1"/>
  <c r="I9" i="3"/>
  <c r="G9" i="3"/>
  <c r="U8" i="3"/>
  <c r="O8" i="3"/>
  <c r="N8" i="3"/>
  <c r="I8" i="3"/>
  <c r="K8" i="3" s="1"/>
  <c r="M8" i="3" s="1"/>
  <c r="G8" i="3"/>
  <c r="U7" i="3"/>
  <c r="N7" i="3"/>
  <c r="O7" i="3" s="1"/>
  <c r="I7" i="3"/>
  <c r="K7" i="3" s="1"/>
  <c r="M7" i="3" s="1"/>
  <c r="G7" i="3"/>
  <c r="U6" i="3"/>
  <c r="N6" i="3"/>
  <c r="O6" i="3" s="1"/>
  <c r="M6" i="3"/>
  <c r="K6" i="3"/>
  <c r="I6" i="3"/>
  <c r="G6" i="3"/>
  <c r="U5" i="3"/>
  <c r="N5" i="3"/>
  <c r="O5" i="3" s="1"/>
  <c r="K5" i="3"/>
  <c r="M5" i="3" s="1"/>
  <c r="I5" i="3"/>
  <c r="G5" i="3"/>
  <c r="B56" i="2"/>
  <c r="B55" i="2"/>
  <c r="B54" i="2"/>
  <c r="R53" i="2"/>
  <c r="P53" i="2"/>
  <c r="B53" i="2"/>
  <c r="P52" i="2"/>
  <c r="B52" i="2"/>
  <c r="R51" i="2"/>
  <c r="P51" i="2"/>
  <c r="B51" i="2"/>
  <c r="P50" i="2"/>
  <c r="B50" i="2"/>
  <c r="R49" i="2"/>
  <c r="P49" i="2"/>
  <c r="B49" i="2"/>
  <c r="P48" i="2"/>
  <c r="B48" i="2"/>
  <c r="R47" i="2"/>
  <c r="P47" i="2"/>
  <c r="B47" i="2"/>
  <c r="P46" i="2"/>
  <c r="B46" i="2"/>
  <c r="R45" i="2"/>
  <c r="P45" i="2"/>
  <c r="B45" i="2"/>
  <c r="P44" i="2"/>
  <c r="R43" i="2"/>
  <c r="Q43" i="2"/>
  <c r="P43" i="2"/>
  <c r="S43" i="2" s="1"/>
  <c r="T43" i="2" s="1"/>
  <c r="S42" i="2"/>
  <c r="R42" i="2"/>
  <c r="Q42" i="2"/>
  <c r="P42" i="2"/>
  <c r="T42" i="2" s="1"/>
  <c r="S41" i="2"/>
  <c r="T41" i="2" s="1"/>
  <c r="R41" i="2"/>
  <c r="P41" i="2"/>
  <c r="Q41" i="2" s="1"/>
  <c r="P40" i="2"/>
  <c r="S39" i="2"/>
  <c r="R39" i="2"/>
  <c r="T39" i="2" s="1"/>
  <c r="Q39" i="2"/>
  <c r="P39" i="2"/>
  <c r="S38" i="2"/>
  <c r="R38" i="2"/>
  <c r="T38" i="2" s="1"/>
  <c r="Q38" i="2"/>
  <c r="P38" i="2"/>
  <c r="S37" i="2"/>
  <c r="T37" i="2" s="1"/>
  <c r="R37" i="2"/>
  <c r="P37" i="2"/>
  <c r="Q37" i="2" s="1"/>
  <c r="P36" i="2"/>
  <c r="S36" i="2" s="1"/>
  <c r="T35" i="2"/>
  <c r="S35" i="2"/>
  <c r="R35" i="2"/>
  <c r="Q35" i="2"/>
  <c r="P35" i="2"/>
  <c r="S34" i="2"/>
  <c r="R34" i="2"/>
  <c r="T34" i="2" s="1"/>
  <c r="P34" i="2"/>
  <c r="Q34" i="2" s="1"/>
  <c r="P33" i="2"/>
  <c r="P32" i="2"/>
  <c r="R31" i="2"/>
  <c r="Q31" i="2"/>
  <c r="P31" i="2"/>
  <c r="S30" i="2"/>
  <c r="R30" i="2"/>
  <c r="Q30" i="2"/>
  <c r="P30" i="2"/>
  <c r="T30" i="2" s="1"/>
  <c r="S29" i="2"/>
  <c r="P29" i="2"/>
  <c r="U28" i="2"/>
  <c r="P28" i="2"/>
  <c r="A28" i="2"/>
  <c r="C28" i="2" s="1"/>
  <c r="W28" i="2" s="1"/>
  <c r="V27" i="2"/>
  <c r="U27" i="2"/>
  <c r="S27" i="2"/>
  <c r="R27" i="2"/>
  <c r="T27" i="2" s="1"/>
  <c r="Q27" i="2"/>
  <c r="P27" i="2"/>
  <c r="C27" i="2"/>
  <c r="W27" i="2" s="1"/>
  <c r="B27" i="2"/>
  <c r="D27" i="2" s="1"/>
  <c r="X27" i="2" s="1"/>
  <c r="A27" i="2"/>
  <c r="S26" i="2"/>
  <c r="R26" i="2"/>
  <c r="Q26" i="2"/>
  <c r="P26" i="2"/>
  <c r="T26" i="2" s="1"/>
  <c r="S25" i="2"/>
  <c r="T25" i="2" s="1"/>
  <c r="R25" i="2"/>
  <c r="P25" i="2"/>
  <c r="Q25" i="2" s="1"/>
  <c r="P24" i="2"/>
  <c r="S23" i="2"/>
  <c r="R23" i="2"/>
  <c r="T23" i="2" s="1"/>
  <c r="Q23" i="2"/>
  <c r="P23" i="2"/>
  <c r="S22" i="2"/>
  <c r="R22" i="2"/>
  <c r="T22" i="2" s="1"/>
  <c r="P22" i="2"/>
  <c r="Q22" i="2" s="1"/>
  <c r="S21" i="2"/>
  <c r="R21" i="2"/>
  <c r="T21" i="2" s="1"/>
  <c r="Q21" i="2"/>
  <c r="P21" i="2"/>
  <c r="E21" i="2"/>
  <c r="P20" i="2"/>
  <c r="E20" i="2"/>
  <c r="E22" i="2" s="1"/>
  <c r="S19" i="2"/>
  <c r="T19" i="2" s="1"/>
  <c r="R19" i="2"/>
  <c r="Q19" i="2"/>
  <c r="P19" i="2"/>
  <c r="S18" i="2"/>
  <c r="R18" i="2"/>
  <c r="Q18" i="2"/>
  <c r="P18" i="2"/>
  <c r="T18" i="2" s="1"/>
  <c r="S17" i="2"/>
  <c r="T17" i="2" s="1"/>
  <c r="R17" i="2"/>
  <c r="Q17" i="2"/>
  <c r="P17" i="2"/>
  <c r="P16" i="2"/>
  <c r="Q16" i="2" s="1"/>
  <c r="S15" i="2"/>
  <c r="R15" i="2"/>
  <c r="T15" i="2" s="1"/>
  <c r="Q15" i="2"/>
  <c r="P15" i="2"/>
  <c r="S14" i="2"/>
  <c r="R14" i="2"/>
  <c r="T14" i="2" s="1"/>
  <c r="Q14" i="2"/>
  <c r="P14" i="2"/>
  <c r="S13" i="2"/>
  <c r="P13" i="2"/>
  <c r="R12" i="2"/>
  <c r="P12" i="2"/>
  <c r="S12" i="2" s="1"/>
  <c r="T12" i="2" s="1"/>
  <c r="J12" i="2"/>
  <c r="G12" i="2"/>
  <c r="S11" i="2"/>
  <c r="R11" i="2"/>
  <c r="T11" i="2" s="1"/>
  <c r="Q11" i="2"/>
  <c r="P11" i="2"/>
  <c r="T10" i="2"/>
  <c r="S10" i="2"/>
  <c r="R10" i="2"/>
  <c r="Q10" i="2"/>
  <c r="P10" i="2"/>
  <c r="S9" i="2"/>
  <c r="P9" i="2"/>
  <c r="R8" i="2"/>
  <c r="P8" i="2"/>
  <c r="S8" i="2" s="1"/>
  <c r="T8" i="2" s="1"/>
  <c r="Q7" i="2"/>
  <c r="P7" i="2"/>
  <c r="R7" i="2" s="1"/>
  <c r="J7" i="2"/>
  <c r="G7" i="2"/>
  <c r="D7" i="2"/>
  <c r="A12" i="2" s="1"/>
  <c r="A7" i="2"/>
  <c r="T6" i="2"/>
  <c r="S6" i="2"/>
  <c r="R6" i="2"/>
  <c r="Q6" i="2"/>
  <c r="P6" i="2"/>
  <c r="S5" i="2"/>
  <c r="P5" i="2"/>
  <c r="R4" i="2"/>
  <c r="P4" i="2"/>
  <c r="S4" i="2" s="1"/>
  <c r="T4" i="2" s="1"/>
  <c r="B4" i="2"/>
  <c r="T5" i="2" l="1"/>
  <c r="T52" i="2"/>
  <c r="D12" i="2"/>
  <c r="E19" i="2"/>
  <c r="T31" i="2"/>
  <c r="T49" i="2"/>
  <c r="Q40" i="2"/>
  <c r="Q44" i="2"/>
  <c r="Q46" i="2"/>
  <c r="Q48" i="2"/>
  <c r="Q50" i="2"/>
  <c r="Q52" i="2"/>
  <c r="Q9" i="2"/>
  <c r="Q13" i="2"/>
  <c r="B20" i="2"/>
  <c r="R28" i="2"/>
  <c r="T28" i="2" s="1"/>
  <c r="Q29" i="2"/>
  <c r="R40" i="2"/>
  <c r="T40" i="2" s="1"/>
  <c r="R44" i="2"/>
  <c r="T44" i="2" s="1"/>
  <c r="R46" i="2"/>
  <c r="T46" i="2" s="1"/>
  <c r="R48" i="2"/>
  <c r="T48" i="2" s="1"/>
  <c r="R50" i="2"/>
  <c r="T50" i="2" s="1"/>
  <c r="R52" i="2"/>
  <c r="Q28" i="2"/>
  <c r="Q5" i="2"/>
  <c r="R5" i="2"/>
  <c r="R9" i="2"/>
  <c r="T9" i="2" s="1"/>
  <c r="R13" i="2"/>
  <c r="T13" i="2" s="1"/>
  <c r="S28" i="2"/>
  <c r="R29" i="2"/>
  <c r="T29" i="2" s="1"/>
  <c r="S40" i="2"/>
  <c r="S44" i="2"/>
  <c r="S46" i="2"/>
  <c r="S48" i="2"/>
  <c r="S50" i="2"/>
  <c r="S52" i="2"/>
  <c r="B22" i="2"/>
  <c r="Q20" i="2"/>
  <c r="Q24" i="2"/>
  <c r="S7" i="2"/>
  <c r="T7" i="2" s="1"/>
  <c r="R16" i="2"/>
  <c r="T16" i="2" s="1"/>
  <c r="R20" i="2"/>
  <c r="T20" i="2" s="1"/>
  <c r="R24" i="2"/>
  <c r="T24" i="2" s="1"/>
  <c r="S31" i="2"/>
  <c r="R32" i="2"/>
  <c r="Q33" i="2"/>
  <c r="Q32" i="2"/>
  <c r="S16" i="2"/>
  <c r="S20" i="2"/>
  <c r="S24" i="2"/>
  <c r="S32" i="2"/>
  <c r="T32" i="2" s="1"/>
  <c r="R33" i="2"/>
  <c r="T33" i="2" s="1"/>
  <c r="Q45" i="2"/>
  <c r="Q47" i="2"/>
  <c r="Q49" i="2"/>
  <c r="Q51" i="2"/>
  <c r="Q53" i="2"/>
  <c r="A8" i="5"/>
  <c r="E7" i="5"/>
  <c r="H7" i="5" s="1"/>
  <c r="C7" i="5"/>
  <c r="G7" i="5" s="1"/>
  <c r="S33" i="2"/>
  <c r="Q4" i="2"/>
  <c r="Q8" i="2"/>
  <c r="Q12" i="2"/>
  <c r="B28" i="2"/>
  <c r="A29" i="2"/>
  <c r="Q36" i="2"/>
  <c r="S45" i="2"/>
  <c r="T45" i="2" s="1"/>
  <c r="S47" i="2"/>
  <c r="T47" i="2" s="1"/>
  <c r="S49" i="2"/>
  <c r="S51" i="2"/>
  <c r="T51" i="2" s="1"/>
  <c r="S53" i="2"/>
  <c r="T53" i="2" s="1"/>
  <c r="R36" i="2"/>
  <c r="T36" i="2" s="1"/>
  <c r="C6" i="5"/>
  <c r="G6" i="5" s="1"/>
  <c r="E6" i="5"/>
  <c r="H6" i="5" s="1"/>
  <c r="C5" i="5"/>
  <c r="G5" i="5" s="1"/>
  <c r="I5" i="5" s="1"/>
  <c r="B6" i="5" s="1"/>
  <c r="I6" i="5" s="1"/>
  <c r="B7" i="5" s="1"/>
  <c r="I7" i="5" s="1"/>
  <c r="B8" i="5" s="1"/>
  <c r="M10" i="7"/>
  <c r="K10" i="7"/>
  <c r="M26" i="7"/>
  <c r="K26" i="7"/>
  <c r="M42" i="7"/>
  <c r="K42" i="7"/>
  <c r="M58" i="7"/>
  <c r="K58" i="7"/>
  <c r="M74" i="7"/>
  <c r="K74" i="7"/>
  <c r="M90" i="7"/>
  <c r="K90" i="7"/>
  <c r="K5" i="7"/>
  <c r="K21" i="7"/>
  <c r="K37" i="7"/>
  <c r="K53" i="7"/>
  <c r="K69" i="7"/>
  <c r="K85" i="7"/>
  <c r="M6" i="7"/>
  <c r="K6" i="7"/>
  <c r="M22" i="7"/>
  <c r="K22" i="7"/>
  <c r="M38" i="7"/>
  <c r="K38" i="7"/>
  <c r="M54" i="7"/>
  <c r="K54" i="7"/>
  <c r="M70" i="7"/>
  <c r="K70" i="7"/>
  <c r="M86" i="7"/>
  <c r="K86" i="7"/>
  <c r="M103" i="7"/>
  <c r="K103" i="7"/>
  <c r="K33" i="7"/>
  <c r="K49" i="7"/>
  <c r="K65" i="7"/>
  <c r="K81" i="7"/>
  <c r="K97" i="7"/>
  <c r="M18" i="7"/>
  <c r="K18" i="7"/>
  <c r="M34" i="7"/>
  <c r="K34" i="7"/>
  <c r="M50" i="7"/>
  <c r="K50" i="7"/>
  <c r="M66" i="7"/>
  <c r="K66" i="7"/>
  <c r="M82" i="7"/>
  <c r="K82" i="7"/>
  <c r="M98" i="7"/>
  <c r="K98" i="7"/>
  <c r="E6" i="8"/>
  <c r="D6" i="8"/>
  <c r="C6" i="8"/>
  <c r="A7" i="8"/>
  <c r="B6" i="8"/>
  <c r="F6" i="8"/>
  <c r="M6" i="8"/>
  <c r="K6" i="8"/>
  <c r="J6" i="8"/>
  <c r="I6" i="8"/>
  <c r="K13" i="7"/>
  <c r="K29" i="7"/>
  <c r="K45" i="7"/>
  <c r="K61" i="7"/>
  <c r="K77" i="7"/>
  <c r="K93" i="7"/>
  <c r="M14" i="7"/>
  <c r="K14" i="7"/>
  <c r="M30" i="7"/>
  <c r="K30" i="7"/>
  <c r="M46" i="7"/>
  <c r="K46" i="7"/>
  <c r="M62" i="7"/>
  <c r="K62" i="7"/>
  <c r="M78" i="7"/>
  <c r="K78" i="7"/>
  <c r="M94" i="7"/>
  <c r="K94" i="7"/>
  <c r="M5" i="8"/>
  <c r="F5" i="8"/>
  <c r="E5" i="8"/>
  <c r="D5" i="8"/>
  <c r="C5" i="8"/>
  <c r="K102" i="7"/>
  <c r="D28" i="2" l="1"/>
  <c r="X28" i="2" s="1"/>
  <c r="V28" i="2"/>
  <c r="B19" i="2"/>
  <c r="L5" i="8"/>
  <c r="G5" i="8"/>
  <c r="H5" i="8" s="1"/>
  <c r="D7" i="8"/>
  <c r="C7" i="8"/>
  <c r="A8" i="8"/>
  <c r="B7" i="8"/>
  <c r="M7" i="8"/>
  <c r="K7" i="8"/>
  <c r="J7" i="8"/>
  <c r="I7" i="8"/>
  <c r="F7" i="8"/>
  <c r="E7" i="8"/>
  <c r="E8" i="5"/>
  <c r="H8" i="5" s="1"/>
  <c r="C8" i="5"/>
  <c r="G8" i="5" s="1"/>
  <c r="I8" i="5" s="1"/>
  <c r="B9" i="5" s="1"/>
  <c r="A9" i="5"/>
  <c r="G6" i="8"/>
  <c r="H6" i="8" s="1"/>
  <c r="L6" i="8"/>
  <c r="C29" i="2"/>
  <c r="W29" i="2" s="1"/>
  <c r="A30" i="2"/>
  <c r="B29" i="2"/>
  <c r="U29" i="2"/>
  <c r="C8" i="8" l="1"/>
  <c r="A9" i="8"/>
  <c r="B8" i="8"/>
  <c r="M8" i="8"/>
  <c r="K8" i="8"/>
  <c r="J8" i="8"/>
  <c r="I8" i="8"/>
  <c r="F8" i="8"/>
  <c r="E8" i="8"/>
  <c r="D8" i="8"/>
  <c r="A31" i="2"/>
  <c r="B30" i="2"/>
  <c r="U30" i="2"/>
  <c r="C30" i="2"/>
  <c r="W30" i="2" s="1"/>
  <c r="G7" i="8"/>
  <c r="H7" i="8" s="1"/>
  <c r="L7" i="8"/>
  <c r="A10" i="5"/>
  <c r="E9" i="5"/>
  <c r="H9" i="5" s="1"/>
  <c r="C9" i="5"/>
  <c r="G9" i="5" s="1"/>
  <c r="I9" i="5" s="1"/>
  <c r="B10" i="5" s="1"/>
  <c r="V29" i="2"/>
  <c r="D29" i="2"/>
  <c r="X29" i="2" s="1"/>
  <c r="L8" i="8" l="1"/>
  <c r="G8" i="8"/>
  <c r="H8" i="8" s="1"/>
  <c r="A10" i="8"/>
  <c r="B9" i="8"/>
  <c r="M9" i="8"/>
  <c r="K9" i="8"/>
  <c r="E9" i="8"/>
  <c r="D9" i="8"/>
  <c r="C9" i="8"/>
  <c r="J9" i="8"/>
  <c r="I9" i="8"/>
  <c r="F9" i="8"/>
  <c r="A11" i="5"/>
  <c r="E10" i="5"/>
  <c r="H10" i="5" s="1"/>
  <c r="C10" i="5"/>
  <c r="G10" i="5" s="1"/>
  <c r="I10" i="5" s="1"/>
  <c r="B11" i="5" s="1"/>
  <c r="U31" i="2"/>
  <c r="B31" i="2"/>
  <c r="C31" i="2"/>
  <c r="W31" i="2" s="1"/>
  <c r="A32" i="2"/>
  <c r="V30" i="2"/>
  <c r="D30" i="2"/>
  <c r="X30" i="2" s="1"/>
  <c r="L9" i="8" l="1"/>
  <c r="G9" i="8"/>
  <c r="H9" i="8" s="1"/>
  <c r="U32" i="2"/>
  <c r="A33" i="2"/>
  <c r="C32" i="2"/>
  <c r="W32" i="2" s="1"/>
  <c r="B32" i="2"/>
  <c r="V31" i="2"/>
  <c r="D31" i="2"/>
  <c r="X31" i="2" s="1"/>
  <c r="E11" i="5"/>
  <c r="H11" i="5" s="1"/>
  <c r="C11" i="5"/>
  <c r="G11" i="5" s="1"/>
  <c r="I11" i="5" s="1"/>
  <c r="B12" i="5" s="1"/>
  <c r="A12" i="5"/>
  <c r="M10" i="8"/>
  <c r="K10" i="8"/>
  <c r="J10" i="8"/>
  <c r="F10" i="8"/>
  <c r="E10" i="8"/>
  <c r="D10" i="8"/>
  <c r="C10" i="8"/>
  <c r="B10" i="8"/>
  <c r="A11" i="8"/>
  <c r="I10" i="8"/>
  <c r="K11" i="8" l="1"/>
  <c r="J11" i="8"/>
  <c r="I11" i="8"/>
  <c r="A12" i="8"/>
  <c r="M11" i="8"/>
  <c r="F11" i="8"/>
  <c r="E11" i="8"/>
  <c r="D11" i="8"/>
  <c r="C11" i="8"/>
  <c r="B11" i="8"/>
  <c r="L10" i="8"/>
  <c r="G10" i="8"/>
  <c r="H10" i="8" s="1"/>
  <c r="U33" i="2"/>
  <c r="C33" i="2"/>
  <c r="W33" i="2" s="1"/>
  <c r="A34" i="2"/>
  <c r="B33" i="2"/>
  <c r="A13" i="5"/>
  <c r="E12" i="5"/>
  <c r="H12" i="5" s="1"/>
  <c r="C12" i="5"/>
  <c r="G12" i="5" s="1"/>
  <c r="I12" i="5" s="1"/>
  <c r="B13" i="5" s="1"/>
  <c r="V32" i="2"/>
  <c r="D32" i="2"/>
  <c r="X32" i="2" s="1"/>
  <c r="V33" i="2" l="1"/>
  <c r="D33" i="2"/>
  <c r="X33" i="2" s="1"/>
  <c r="K12" i="8"/>
  <c r="J12" i="8"/>
  <c r="I12" i="8"/>
  <c r="B12" i="8"/>
  <c r="A13" i="8"/>
  <c r="M12" i="8"/>
  <c r="F12" i="8"/>
  <c r="E12" i="8"/>
  <c r="D12" i="8"/>
  <c r="C12" i="8"/>
  <c r="C13" i="5"/>
  <c r="G13" i="5" s="1"/>
  <c r="I13" i="5" s="1"/>
  <c r="B14" i="5" s="1"/>
  <c r="A14" i="5"/>
  <c r="E13" i="5"/>
  <c r="H13" i="5" s="1"/>
  <c r="U34" i="2"/>
  <c r="C34" i="2"/>
  <c r="W34" i="2" s="1"/>
  <c r="A35" i="2"/>
  <c r="B34" i="2"/>
  <c r="L11" i="8"/>
  <c r="G11" i="8"/>
  <c r="H11" i="8" s="1"/>
  <c r="C35" i="2" l="1"/>
  <c r="W35" i="2" s="1"/>
  <c r="A36" i="2"/>
  <c r="B35" i="2"/>
  <c r="U35" i="2"/>
  <c r="D34" i="2"/>
  <c r="X34" i="2" s="1"/>
  <c r="V34" i="2"/>
  <c r="L12" i="8"/>
  <c r="G12" i="8"/>
  <c r="H12" i="8" s="1"/>
  <c r="J13" i="8"/>
  <c r="I13" i="8"/>
  <c r="E13" i="8"/>
  <c r="D13" i="8"/>
  <c r="C13" i="8"/>
  <c r="B13" i="8"/>
  <c r="A14" i="8"/>
  <c r="M13" i="8"/>
  <c r="K13" i="8"/>
  <c r="F13" i="8"/>
  <c r="E14" i="5"/>
  <c r="H14" i="5" s="1"/>
  <c r="C14" i="5"/>
  <c r="G14" i="5" s="1"/>
  <c r="I14" i="5" s="1"/>
  <c r="B15" i="5" s="1"/>
  <c r="A15" i="5"/>
  <c r="A16" i="5" l="1"/>
  <c r="E15" i="5"/>
  <c r="H15" i="5" s="1"/>
  <c r="C15" i="5"/>
  <c r="G15" i="5" s="1"/>
  <c r="I15" i="5" s="1"/>
  <c r="B16" i="5" s="1"/>
  <c r="D35" i="2"/>
  <c r="X35" i="2" s="1"/>
  <c r="V35" i="2"/>
  <c r="A37" i="2"/>
  <c r="B36" i="2"/>
  <c r="C36" i="2"/>
  <c r="W36" i="2" s="1"/>
  <c r="U36" i="2"/>
  <c r="I14" i="8"/>
  <c r="F14" i="8"/>
  <c r="K14" i="8"/>
  <c r="J14" i="8"/>
  <c r="E14" i="8"/>
  <c r="D14" i="8"/>
  <c r="C14" i="8"/>
  <c r="B14" i="8"/>
  <c r="A15" i="8"/>
  <c r="M14" i="8"/>
  <c r="G13" i="8"/>
  <c r="H13" i="8" s="1"/>
  <c r="L13" i="8"/>
  <c r="F15" i="8" l="1"/>
  <c r="E15" i="8"/>
  <c r="A16" i="8"/>
  <c r="M15" i="8"/>
  <c r="K15" i="8"/>
  <c r="J15" i="8"/>
  <c r="I15" i="8"/>
  <c r="D15" i="8"/>
  <c r="C15" i="8"/>
  <c r="B15" i="8"/>
  <c r="C37" i="2"/>
  <c r="W37" i="2" s="1"/>
  <c r="A38" i="2"/>
  <c r="B37" i="2"/>
  <c r="U37" i="2"/>
  <c r="E16" i="5"/>
  <c r="H16" i="5" s="1"/>
  <c r="C16" i="5"/>
  <c r="G16" i="5" s="1"/>
  <c r="I16" i="5" s="1"/>
  <c r="B17" i="5" s="1"/>
  <c r="A17" i="5"/>
  <c r="D36" i="2"/>
  <c r="X36" i="2" s="1"/>
  <c r="V36" i="2"/>
  <c r="G14" i="8"/>
  <c r="H14" i="8" s="1"/>
  <c r="L14" i="8"/>
  <c r="G15" i="8" l="1"/>
  <c r="H15" i="8" s="1"/>
  <c r="L15" i="8"/>
  <c r="E17" i="5"/>
  <c r="H17" i="5" s="1"/>
  <c r="A18" i="5"/>
  <c r="C17" i="5"/>
  <c r="G17" i="5" s="1"/>
  <c r="I17" i="5" s="1"/>
  <c r="B18" i="5" s="1"/>
  <c r="F16" i="8"/>
  <c r="E16" i="8"/>
  <c r="D16" i="8"/>
  <c r="B16" i="8"/>
  <c r="A17" i="8"/>
  <c r="M16" i="8"/>
  <c r="K16" i="8"/>
  <c r="J16" i="8"/>
  <c r="I16" i="8"/>
  <c r="C16" i="8"/>
  <c r="D37" i="2"/>
  <c r="X37" i="2" s="1"/>
  <c r="V37" i="2"/>
  <c r="C38" i="2"/>
  <c r="W38" i="2" s="1"/>
  <c r="A39" i="2"/>
  <c r="B38" i="2"/>
  <c r="U38" i="2"/>
  <c r="F17" i="8" l="1"/>
  <c r="E17" i="8"/>
  <c r="D17" i="8"/>
  <c r="C17" i="8"/>
  <c r="I17" i="8"/>
  <c r="B17" i="8"/>
  <c r="A18" i="8"/>
  <c r="M17" i="8"/>
  <c r="K17" i="8"/>
  <c r="J17" i="8"/>
  <c r="G16" i="8"/>
  <c r="H16" i="8" s="1"/>
  <c r="L16" i="8"/>
  <c r="C39" i="2"/>
  <c r="W39" i="2" s="1"/>
  <c r="U39" i="2"/>
  <c r="A40" i="2"/>
  <c r="B39" i="2"/>
  <c r="D38" i="2"/>
  <c r="X38" i="2" s="1"/>
  <c r="V38" i="2"/>
  <c r="A19" i="5"/>
  <c r="E18" i="5"/>
  <c r="H18" i="5" s="1"/>
  <c r="C18" i="5"/>
  <c r="G18" i="5" s="1"/>
  <c r="I18" i="5" s="1"/>
  <c r="B19" i="5" s="1"/>
  <c r="E18" i="8" l="1"/>
  <c r="D18" i="8"/>
  <c r="C18" i="8"/>
  <c r="A19" i="8"/>
  <c r="B18" i="8"/>
  <c r="K18" i="8"/>
  <c r="J18" i="8"/>
  <c r="I18" i="8"/>
  <c r="F18" i="8"/>
  <c r="M18" i="8"/>
  <c r="D39" i="2"/>
  <c r="X39" i="2" s="1"/>
  <c r="V39" i="2"/>
  <c r="G17" i="8"/>
  <c r="H17" i="8" s="1"/>
  <c r="L17" i="8"/>
  <c r="E19" i="5"/>
  <c r="H19" i="5" s="1"/>
  <c r="C19" i="5"/>
  <c r="G19" i="5" s="1"/>
  <c r="I19" i="5" s="1"/>
  <c r="B20" i="5" s="1"/>
  <c r="A20" i="5"/>
  <c r="C40" i="2"/>
  <c r="W40" i="2" s="1"/>
  <c r="B40" i="2"/>
  <c r="U40" i="2"/>
  <c r="D40" i="2" l="1"/>
  <c r="X40" i="2" s="1"/>
  <c r="V40" i="2"/>
  <c r="E20" i="5"/>
  <c r="H20" i="5" s="1"/>
  <c r="A21" i="5"/>
  <c r="C20" i="5"/>
  <c r="G20" i="5" s="1"/>
  <c r="I20" i="5" s="1"/>
  <c r="B21" i="5" s="1"/>
  <c r="L18" i="8"/>
  <c r="G18" i="8"/>
  <c r="H18" i="8" s="1"/>
  <c r="D19" i="8"/>
  <c r="C19" i="8"/>
  <c r="A20" i="8"/>
  <c r="B19" i="8"/>
  <c r="M19" i="8"/>
  <c r="K19" i="8"/>
  <c r="J19" i="8"/>
  <c r="I19" i="8"/>
  <c r="F19" i="8"/>
  <c r="E19" i="8"/>
  <c r="C20" i="8" l="1"/>
  <c r="A21" i="8"/>
  <c r="B20" i="8"/>
  <c r="M20" i="8"/>
  <c r="F20" i="8"/>
  <c r="E20" i="8"/>
  <c r="D20" i="8"/>
  <c r="K20" i="8"/>
  <c r="J20" i="8"/>
  <c r="I20" i="8"/>
  <c r="A22" i="5"/>
  <c r="E21" i="5"/>
  <c r="H21" i="5" s="1"/>
  <c r="C21" i="5"/>
  <c r="G21" i="5" s="1"/>
  <c r="I21" i="5" s="1"/>
  <c r="B22" i="5" s="1"/>
  <c r="L19" i="8"/>
  <c r="G19" i="8"/>
  <c r="H19" i="8" s="1"/>
  <c r="L20" i="8" l="1"/>
  <c r="G20" i="8"/>
  <c r="H20" i="8" s="1"/>
  <c r="E22" i="5"/>
  <c r="H22" i="5" s="1"/>
  <c r="C22" i="5"/>
  <c r="G22" i="5" s="1"/>
  <c r="I22" i="5" s="1"/>
  <c r="B23" i="5" s="1"/>
  <c r="A23" i="5"/>
  <c r="A22" i="8"/>
  <c r="B21" i="8"/>
  <c r="M21" i="8"/>
  <c r="K21" i="8"/>
  <c r="I21" i="8"/>
  <c r="F21" i="8"/>
  <c r="E21" i="8"/>
  <c r="D21" i="8"/>
  <c r="C21" i="8"/>
  <c r="J21" i="8"/>
  <c r="L21" i="8" l="1"/>
  <c r="G21" i="8"/>
  <c r="H21" i="8" s="1"/>
  <c r="M22" i="8"/>
  <c r="K22" i="8"/>
  <c r="J22" i="8"/>
  <c r="A23" i="8"/>
  <c r="I22" i="8"/>
  <c r="F22" i="8"/>
  <c r="E22" i="8"/>
  <c r="D22" i="8"/>
  <c r="C22" i="8"/>
  <c r="B22" i="8"/>
  <c r="E23" i="5"/>
  <c r="H23" i="5" s="1"/>
  <c r="A24" i="5"/>
  <c r="C23" i="5"/>
  <c r="G23" i="5" s="1"/>
  <c r="I23" i="5" s="1"/>
  <c r="B24" i="5" s="1"/>
  <c r="L22" i="8" l="1"/>
  <c r="G22" i="8"/>
  <c r="H22" i="8" s="1"/>
  <c r="C24" i="5"/>
  <c r="G24" i="5" s="1"/>
  <c r="I24" i="5" s="1"/>
  <c r="B25" i="5" s="1"/>
  <c r="A25" i="5"/>
  <c r="E24" i="5"/>
  <c r="H24" i="5" s="1"/>
  <c r="K23" i="8"/>
  <c r="J23" i="8"/>
  <c r="I23" i="8"/>
  <c r="C23" i="8"/>
  <c r="B23" i="8"/>
  <c r="A24" i="8"/>
  <c r="M23" i="8"/>
  <c r="F23" i="8"/>
  <c r="E23" i="8"/>
  <c r="D23" i="8"/>
  <c r="E25" i="5" l="1"/>
  <c r="H25" i="5" s="1"/>
  <c r="C25" i="5"/>
  <c r="G25" i="5" s="1"/>
  <c r="I25" i="5" s="1"/>
  <c r="B26" i="5" s="1"/>
  <c r="A26" i="5"/>
  <c r="K24" i="8"/>
  <c r="J24" i="8"/>
  <c r="I24" i="8"/>
  <c r="F24" i="8"/>
  <c r="E24" i="8"/>
  <c r="D24" i="8"/>
  <c r="C24" i="8"/>
  <c r="B24" i="8"/>
  <c r="A25" i="8"/>
  <c r="M24" i="8"/>
  <c r="L23" i="8"/>
  <c r="G23" i="8"/>
  <c r="H23" i="8" s="1"/>
  <c r="E26" i="5" l="1"/>
  <c r="H26" i="5" s="1"/>
  <c r="A27" i="5"/>
  <c r="C26" i="5"/>
  <c r="G26" i="5" s="1"/>
  <c r="I26" i="5" s="1"/>
  <c r="B27" i="5" s="1"/>
  <c r="L24" i="8"/>
  <c r="G24" i="8"/>
  <c r="H24" i="8" s="1"/>
  <c r="J25" i="8"/>
  <c r="I25" i="8"/>
  <c r="M25" i="8"/>
  <c r="K25" i="8"/>
  <c r="F25" i="8"/>
  <c r="E25" i="8"/>
  <c r="D25" i="8"/>
  <c r="C25" i="8"/>
  <c r="B25" i="8"/>
  <c r="A26" i="8"/>
  <c r="I26" i="8" l="1"/>
  <c r="F26" i="8"/>
  <c r="A27" i="8"/>
  <c r="M26" i="8"/>
  <c r="K26" i="8"/>
  <c r="J26" i="8"/>
  <c r="E26" i="8"/>
  <c r="D26" i="8"/>
  <c r="C26" i="8"/>
  <c r="B26" i="8"/>
  <c r="E27" i="5"/>
  <c r="H27" i="5" s="1"/>
  <c r="C27" i="5"/>
  <c r="G27" i="5" s="1"/>
  <c r="I27" i="5" s="1"/>
  <c r="B28" i="5" s="1"/>
  <c r="A28" i="5"/>
  <c r="G25" i="8"/>
  <c r="H25" i="8" s="1"/>
  <c r="L25" i="8"/>
  <c r="G26" i="8" l="1"/>
  <c r="H26" i="8" s="1"/>
  <c r="L26" i="8"/>
  <c r="F27" i="8"/>
  <c r="E27" i="8"/>
  <c r="C27" i="8"/>
  <c r="B27" i="8"/>
  <c r="A28" i="8"/>
  <c r="M27" i="8"/>
  <c r="K27" i="8"/>
  <c r="J27" i="8"/>
  <c r="I27" i="8"/>
  <c r="D27" i="8"/>
  <c r="E28" i="5"/>
  <c r="H28" i="5" s="1"/>
  <c r="C28" i="5"/>
  <c r="G28" i="5" s="1"/>
  <c r="I28" i="5" s="1"/>
  <c r="B29" i="5" s="1"/>
  <c r="A29" i="5"/>
  <c r="F28" i="8" l="1"/>
  <c r="E28" i="8"/>
  <c r="D28" i="8"/>
  <c r="J28" i="8"/>
  <c r="I28" i="8"/>
  <c r="C28" i="8"/>
  <c r="B28" i="8"/>
  <c r="A29" i="8"/>
  <c r="M28" i="8"/>
  <c r="K28" i="8"/>
  <c r="E29" i="5"/>
  <c r="H29" i="5" s="1"/>
  <c r="A30" i="5"/>
  <c r="C29" i="5"/>
  <c r="G29" i="5" s="1"/>
  <c r="I29" i="5" s="1"/>
  <c r="B30" i="5" s="1"/>
  <c r="G27" i="8"/>
  <c r="H27" i="8" s="1"/>
  <c r="L27" i="8"/>
  <c r="G28" i="8" l="1"/>
  <c r="H28" i="8" s="1"/>
  <c r="L28" i="8"/>
  <c r="F29" i="8"/>
  <c r="E29" i="8"/>
  <c r="D29" i="8"/>
  <c r="C29" i="8"/>
  <c r="M29" i="8"/>
  <c r="K29" i="8"/>
  <c r="J29" i="8"/>
  <c r="I29" i="8"/>
  <c r="B29" i="8"/>
  <c r="A30" i="8"/>
  <c r="E30" i="5"/>
  <c r="H30" i="5" s="1"/>
  <c r="C30" i="5"/>
  <c r="G30" i="5" s="1"/>
  <c r="I30" i="5" s="1"/>
  <c r="B31" i="5" s="1"/>
  <c r="A31" i="5"/>
  <c r="L29" i="8" l="1"/>
  <c r="G29" i="8"/>
  <c r="H29" i="8" s="1"/>
  <c r="A32" i="5"/>
  <c r="E31" i="5"/>
  <c r="H31" i="5" s="1"/>
  <c r="C31" i="5"/>
  <c r="G31" i="5" s="1"/>
  <c r="I31" i="5" s="1"/>
  <c r="B32" i="5" s="1"/>
  <c r="E30" i="8"/>
  <c r="D30" i="8"/>
  <c r="C30" i="8"/>
  <c r="A31" i="8"/>
  <c r="B30" i="8"/>
  <c r="M30" i="8"/>
  <c r="K30" i="8"/>
  <c r="J30" i="8"/>
  <c r="I30" i="8"/>
  <c r="F30" i="8"/>
  <c r="L30" i="8" l="1"/>
  <c r="G30" i="8"/>
  <c r="H30" i="8" s="1"/>
  <c r="E32" i="5"/>
  <c r="H32" i="5" s="1"/>
  <c r="A33" i="5"/>
  <c r="C32" i="5"/>
  <c r="G32" i="5" s="1"/>
  <c r="I32" i="5" s="1"/>
  <c r="B33" i="5" s="1"/>
  <c r="D31" i="8"/>
  <c r="C31" i="8"/>
  <c r="A32" i="8"/>
  <c r="B31" i="8"/>
  <c r="M31" i="8"/>
  <c r="F31" i="8"/>
  <c r="E31" i="8"/>
  <c r="K31" i="8"/>
  <c r="J31" i="8"/>
  <c r="I31" i="8"/>
  <c r="E33" i="5" l="1"/>
  <c r="H33" i="5" s="1"/>
  <c r="C33" i="5"/>
  <c r="G33" i="5" s="1"/>
  <c r="I33" i="5" s="1"/>
  <c r="B34" i="5" s="1"/>
  <c r="A34" i="5"/>
  <c r="C32" i="8"/>
  <c r="A33" i="8"/>
  <c r="B32" i="8"/>
  <c r="M32" i="8"/>
  <c r="J32" i="8"/>
  <c r="I32" i="8"/>
  <c r="F32" i="8"/>
  <c r="E32" i="8"/>
  <c r="D32" i="8"/>
  <c r="K32" i="8"/>
  <c r="G31" i="8"/>
  <c r="H31" i="8" s="1"/>
  <c r="L31" i="8"/>
  <c r="A34" i="8" l="1"/>
  <c r="B33" i="8"/>
  <c r="M33" i="8"/>
  <c r="K33" i="8"/>
  <c r="I33" i="8"/>
  <c r="J33" i="8"/>
  <c r="F33" i="8"/>
  <c r="E33" i="8"/>
  <c r="D33" i="8"/>
  <c r="C33" i="8"/>
  <c r="A35" i="5"/>
  <c r="E34" i="5"/>
  <c r="H34" i="5" s="1"/>
  <c r="C34" i="5"/>
  <c r="G34" i="5" s="1"/>
  <c r="I34" i="5" s="1"/>
  <c r="B35" i="5" s="1"/>
  <c r="L32" i="8"/>
  <c r="G32" i="8"/>
  <c r="H32" i="8" s="1"/>
  <c r="E35" i="5" l="1"/>
  <c r="H35" i="5" s="1"/>
  <c r="A36" i="5"/>
  <c r="C35" i="5"/>
  <c r="G35" i="5" s="1"/>
  <c r="I35" i="5" s="1"/>
  <c r="B36" i="5" s="1"/>
  <c r="L33" i="8"/>
  <c r="G33" i="8"/>
  <c r="H33" i="8" s="1"/>
  <c r="M34" i="8"/>
  <c r="K34" i="8"/>
  <c r="J34" i="8"/>
  <c r="E34" i="8"/>
  <c r="D34" i="8"/>
  <c r="C34" i="8"/>
  <c r="B34" i="8"/>
  <c r="A35" i="8"/>
  <c r="I34" i="8"/>
  <c r="F34" i="8"/>
  <c r="L34" i="8" l="1"/>
  <c r="G34" i="8"/>
  <c r="H34" i="8" s="1"/>
  <c r="K35" i="8"/>
  <c r="J35" i="8"/>
  <c r="I35" i="8"/>
  <c r="A36" i="8"/>
  <c r="M35" i="8"/>
  <c r="F35" i="8"/>
  <c r="E35" i="8"/>
  <c r="D35" i="8"/>
  <c r="C35" i="8"/>
  <c r="B35" i="8"/>
  <c r="E36" i="5"/>
  <c r="H36" i="5" s="1"/>
  <c r="C36" i="5"/>
  <c r="G36" i="5" s="1"/>
  <c r="I36" i="5" s="1"/>
  <c r="B37" i="5" s="1"/>
  <c r="A37" i="5"/>
  <c r="L35" i="8" l="1"/>
  <c r="G35" i="8"/>
  <c r="H35" i="8" s="1"/>
  <c r="K36" i="8"/>
  <c r="J36" i="8"/>
  <c r="I36" i="8"/>
  <c r="F36" i="8"/>
  <c r="A37" i="8"/>
  <c r="M36" i="8"/>
  <c r="E36" i="8"/>
  <c r="D36" i="8"/>
  <c r="C36" i="8"/>
  <c r="B36" i="8"/>
  <c r="E37" i="5"/>
  <c r="H37" i="5" s="1"/>
  <c r="A38" i="5"/>
  <c r="C37" i="5"/>
  <c r="G37" i="5" s="1"/>
  <c r="I37" i="5" s="1"/>
  <c r="B38" i="5" s="1"/>
  <c r="L36" i="8" l="1"/>
  <c r="G36" i="8"/>
  <c r="H36" i="8" s="1"/>
  <c r="J37" i="8"/>
  <c r="I37" i="8"/>
  <c r="E37" i="8"/>
  <c r="F37" i="8"/>
  <c r="D37" i="8"/>
  <c r="C37" i="8"/>
  <c r="B37" i="8"/>
  <c r="A38" i="8"/>
  <c r="M37" i="8"/>
  <c r="K37" i="8"/>
  <c r="E38" i="5"/>
  <c r="H38" i="5" s="1"/>
  <c r="A39" i="5"/>
  <c r="C38" i="5"/>
  <c r="G38" i="5" s="1"/>
  <c r="I38" i="5" s="1"/>
  <c r="B39" i="5" s="1"/>
  <c r="G37" i="8" l="1"/>
  <c r="H37" i="8" s="1"/>
  <c r="L37" i="8"/>
  <c r="I38" i="8"/>
  <c r="F38" i="8"/>
  <c r="D38" i="8"/>
  <c r="A39" i="8"/>
  <c r="M38" i="8"/>
  <c r="K38" i="8"/>
  <c r="J38" i="8"/>
  <c r="E38" i="8"/>
  <c r="C38" i="8"/>
  <c r="B38" i="8"/>
  <c r="A40" i="5"/>
  <c r="E39" i="5"/>
  <c r="H39" i="5" s="1"/>
  <c r="C39" i="5"/>
  <c r="G39" i="5" s="1"/>
  <c r="I39" i="5" s="1"/>
  <c r="B40" i="5" s="1"/>
  <c r="G38" i="8" l="1"/>
  <c r="H38" i="8" s="1"/>
  <c r="L38" i="8"/>
  <c r="F39" i="8"/>
  <c r="E39" i="8"/>
  <c r="C39" i="8"/>
  <c r="A40" i="8"/>
  <c r="M39" i="8"/>
  <c r="K39" i="8"/>
  <c r="J39" i="8"/>
  <c r="I39" i="8"/>
  <c r="D39" i="8"/>
  <c r="B39" i="8"/>
  <c r="E40" i="5"/>
  <c r="H40" i="5" s="1"/>
  <c r="C40" i="5"/>
  <c r="G40" i="5" s="1"/>
  <c r="I40" i="5" s="1"/>
  <c r="B41" i="5" s="1"/>
  <c r="A41" i="5"/>
  <c r="G39" i="8" l="1"/>
  <c r="H39" i="8" s="1"/>
  <c r="L39" i="8"/>
  <c r="E41" i="5"/>
  <c r="H41" i="5" s="1"/>
  <c r="A42" i="5"/>
  <c r="C41" i="5"/>
  <c r="G41" i="5" s="1"/>
  <c r="I41" i="5" s="1"/>
  <c r="B42" i="5" s="1"/>
  <c r="F40" i="8"/>
  <c r="E40" i="8"/>
  <c r="D40" i="8"/>
  <c r="A41" i="8"/>
  <c r="B40" i="8"/>
  <c r="J40" i="8"/>
  <c r="I40" i="8"/>
  <c r="C40" i="8"/>
  <c r="M40" i="8"/>
  <c r="K40" i="8"/>
  <c r="G40" i="8" l="1"/>
  <c r="H40" i="8" s="1"/>
  <c r="L40" i="8"/>
  <c r="F41" i="8"/>
  <c r="E41" i="8"/>
  <c r="D41" i="8"/>
  <c r="C41" i="8"/>
  <c r="M41" i="8"/>
  <c r="A42" i="8"/>
  <c r="K41" i="8"/>
  <c r="J41" i="8"/>
  <c r="I41" i="8"/>
  <c r="B41" i="8"/>
  <c r="C42" i="5"/>
  <c r="G42" i="5" s="1"/>
  <c r="I42" i="5" s="1"/>
  <c r="B43" i="5" s="1"/>
  <c r="E42" i="5"/>
  <c r="H42" i="5" s="1"/>
  <c r="A43" i="5"/>
  <c r="A44" i="5" l="1"/>
  <c r="E43" i="5"/>
  <c r="H43" i="5" s="1"/>
  <c r="C43" i="5"/>
  <c r="G43" i="5" s="1"/>
  <c r="I43" i="5" s="1"/>
  <c r="B44" i="5" s="1"/>
  <c r="L41" i="8"/>
  <c r="G41" i="8"/>
  <c r="H41" i="8" s="1"/>
  <c r="E42" i="8"/>
  <c r="D42" i="8"/>
  <c r="C42" i="8"/>
  <c r="A43" i="8"/>
  <c r="B42" i="8"/>
  <c r="F42" i="8"/>
  <c r="M42" i="8"/>
  <c r="K42" i="8"/>
  <c r="J42" i="8"/>
  <c r="I42" i="8"/>
  <c r="D43" i="8" l="1"/>
  <c r="C43" i="8"/>
  <c r="A44" i="8"/>
  <c r="B43" i="8"/>
  <c r="M43" i="8"/>
  <c r="K43" i="8"/>
  <c r="J43" i="8"/>
  <c r="I43" i="8"/>
  <c r="F43" i="8"/>
  <c r="E43" i="8"/>
  <c r="L42" i="8"/>
  <c r="G42" i="8"/>
  <c r="H42" i="8" s="1"/>
  <c r="E44" i="5"/>
  <c r="H44" i="5" s="1"/>
  <c r="C44" i="5"/>
  <c r="G44" i="5" s="1"/>
  <c r="I44" i="5" s="1"/>
  <c r="B45" i="5" s="1"/>
  <c r="A45" i="5"/>
  <c r="E45" i="5" l="1"/>
  <c r="H45" i="5" s="1"/>
  <c r="C45" i="5"/>
  <c r="G45" i="5" s="1"/>
  <c r="I45" i="5" s="1"/>
  <c r="B46" i="5" s="1"/>
  <c r="A46" i="5"/>
  <c r="C44" i="8"/>
  <c r="A45" i="8"/>
  <c r="B44" i="8"/>
  <c r="M44" i="8"/>
  <c r="J44" i="8"/>
  <c r="K44" i="8"/>
  <c r="I44" i="8"/>
  <c r="F44" i="8"/>
  <c r="E44" i="8"/>
  <c r="D44" i="8"/>
  <c r="G43" i="8"/>
  <c r="H43" i="8" s="1"/>
  <c r="L43" i="8"/>
  <c r="E46" i="5" l="1"/>
  <c r="H46" i="5" s="1"/>
  <c r="C46" i="5"/>
  <c r="G46" i="5" s="1"/>
  <c r="I46" i="5" s="1"/>
  <c r="B47" i="5" s="1"/>
  <c r="A47" i="5"/>
  <c r="A46" i="8"/>
  <c r="B45" i="8"/>
  <c r="M45" i="8"/>
  <c r="K45" i="8"/>
  <c r="I45" i="8"/>
  <c r="F45" i="8"/>
  <c r="E45" i="8"/>
  <c r="D45" i="8"/>
  <c r="C45" i="8"/>
  <c r="J45" i="8"/>
  <c r="L44" i="8"/>
  <c r="G44" i="8"/>
  <c r="H44" i="8" s="1"/>
  <c r="M46" i="8" l="1"/>
  <c r="K46" i="8"/>
  <c r="J46" i="8"/>
  <c r="A47" i="8"/>
  <c r="I46" i="8"/>
  <c r="F46" i="8"/>
  <c r="E46" i="8"/>
  <c r="D46" i="8"/>
  <c r="C46" i="8"/>
  <c r="B46" i="8"/>
  <c r="E47" i="5"/>
  <c r="H47" i="5" s="1"/>
  <c r="A48" i="5"/>
  <c r="C47" i="5"/>
  <c r="G47" i="5" s="1"/>
  <c r="I47" i="5" s="1"/>
  <c r="B48" i="5" s="1"/>
  <c r="L45" i="8"/>
  <c r="G45" i="8"/>
  <c r="H45" i="8" s="1"/>
  <c r="L46" i="8" l="1"/>
  <c r="G46" i="8"/>
  <c r="H46" i="8" s="1"/>
  <c r="K47" i="8"/>
  <c r="J47" i="8"/>
  <c r="I47" i="8"/>
  <c r="B47" i="8"/>
  <c r="A48" i="8"/>
  <c r="M47" i="8"/>
  <c r="F47" i="8"/>
  <c r="E47" i="8"/>
  <c r="D47" i="8"/>
  <c r="C47" i="8"/>
  <c r="E48" i="5"/>
  <c r="H48" i="5" s="1"/>
  <c r="C48" i="5"/>
  <c r="G48" i="5" s="1"/>
  <c r="I48" i="5" s="1"/>
  <c r="B49" i="5" s="1"/>
  <c r="A49" i="5"/>
  <c r="L47" i="8" l="1"/>
  <c r="G47" i="8"/>
  <c r="H47" i="8" s="1"/>
  <c r="A50" i="5"/>
  <c r="E49" i="5"/>
  <c r="H49" i="5" s="1"/>
  <c r="C49" i="5"/>
  <c r="G49" i="5" s="1"/>
  <c r="I49" i="5" s="1"/>
  <c r="B50" i="5" s="1"/>
  <c r="K48" i="8"/>
  <c r="J48" i="8"/>
  <c r="I48" i="8"/>
  <c r="F48" i="8"/>
  <c r="E48" i="8"/>
  <c r="D48" i="8"/>
  <c r="C48" i="8"/>
  <c r="B48" i="8"/>
  <c r="A49" i="8"/>
  <c r="M48" i="8"/>
  <c r="E50" i="5" l="1"/>
  <c r="H50" i="5" s="1"/>
  <c r="C50" i="5"/>
  <c r="G50" i="5" s="1"/>
  <c r="I50" i="5" s="1"/>
  <c r="B51" i="5" s="1"/>
  <c r="A51" i="5"/>
  <c r="J49" i="8"/>
  <c r="I49" i="8"/>
  <c r="E49" i="8"/>
  <c r="A50" i="8"/>
  <c r="M49" i="8"/>
  <c r="K49" i="8"/>
  <c r="F49" i="8"/>
  <c r="D49" i="8"/>
  <c r="C49" i="8"/>
  <c r="B49" i="8"/>
  <c r="G48" i="8"/>
  <c r="H48" i="8" s="1"/>
  <c r="L48" i="8"/>
  <c r="E51" i="5" l="1"/>
  <c r="H51" i="5" s="1"/>
  <c r="A52" i="5"/>
  <c r="C51" i="5"/>
  <c r="G51" i="5" s="1"/>
  <c r="I51" i="5" s="1"/>
  <c r="B52" i="5" s="1"/>
  <c r="G49" i="8"/>
  <c r="H49" i="8" s="1"/>
  <c r="L49" i="8"/>
  <c r="I50" i="8"/>
  <c r="F50" i="8"/>
  <c r="D50" i="8"/>
  <c r="B50" i="8"/>
  <c r="A51" i="8"/>
  <c r="M50" i="8"/>
  <c r="K50" i="8"/>
  <c r="J50" i="8"/>
  <c r="E50" i="8"/>
  <c r="C50" i="8"/>
  <c r="A53" i="5" l="1"/>
  <c r="E52" i="5"/>
  <c r="H52" i="5" s="1"/>
  <c r="C52" i="5"/>
  <c r="G52" i="5" s="1"/>
  <c r="I52" i="5" s="1"/>
  <c r="B53" i="5" s="1"/>
  <c r="F51" i="8"/>
  <c r="E51" i="8"/>
  <c r="C51" i="8"/>
  <c r="K51" i="8"/>
  <c r="J51" i="8"/>
  <c r="I51" i="8"/>
  <c r="D51" i="8"/>
  <c r="B51" i="8"/>
  <c r="A52" i="8"/>
  <c r="M51" i="8"/>
  <c r="G50" i="8"/>
  <c r="H50" i="8" s="1"/>
  <c r="L50" i="8"/>
  <c r="G51" i="8" l="1"/>
  <c r="H51" i="8" s="1"/>
  <c r="L51" i="8"/>
  <c r="E53" i="5"/>
  <c r="H53" i="5" s="1"/>
  <c r="A54" i="5"/>
  <c r="C53" i="5"/>
  <c r="G53" i="5" s="1"/>
  <c r="I53" i="5" s="1"/>
  <c r="B54" i="5" s="1"/>
  <c r="F52" i="8"/>
  <c r="E52" i="8"/>
  <c r="D52" i="8"/>
  <c r="A53" i="8"/>
  <c r="B52" i="8"/>
  <c r="M52" i="8"/>
  <c r="K52" i="8"/>
  <c r="J52" i="8"/>
  <c r="I52" i="8"/>
  <c r="C52" i="8"/>
  <c r="G52" i="8" l="1"/>
  <c r="H52" i="8" s="1"/>
  <c r="L52" i="8"/>
  <c r="E54" i="5"/>
  <c r="H54" i="5" s="1"/>
  <c r="C54" i="5"/>
  <c r="G54" i="5" s="1"/>
  <c r="I54" i="5" s="1"/>
  <c r="B55" i="5" s="1"/>
  <c r="A55" i="5"/>
  <c r="F53" i="8"/>
  <c r="E53" i="8"/>
  <c r="D53" i="8"/>
  <c r="C53" i="8"/>
  <c r="M53" i="8"/>
  <c r="B53" i="8"/>
  <c r="A54" i="8"/>
  <c r="K53" i="8"/>
  <c r="J53" i="8"/>
  <c r="I53" i="8"/>
  <c r="G53" i="8" l="1"/>
  <c r="H53" i="8" s="1"/>
  <c r="L53" i="8"/>
  <c r="E55" i="5"/>
  <c r="H55" i="5" s="1"/>
  <c r="A56" i="5"/>
  <c r="C55" i="5"/>
  <c r="G55" i="5" s="1"/>
  <c r="I55" i="5" s="1"/>
  <c r="B56" i="5" s="1"/>
  <c r="E54" i="8"/>
  <c r="D54" i="8"/>
  <c r="C54" i="8"/>
  <c r="A55" i="8"/>
  <c r="B54" i="8"/>
  <c r="K54" i="8"/>
  <c r="J54" i="8"/>
  <c r="I54" i="8"/>
  <c r="F54" i="8"/>
  <c r="M54" i="8"/>
  <c r="E56" i="5" l="1"/>
  <c r="H56" i="5" s="1"/>
  <c r="A57" i="5"/>
  <c r="C56" i="5"/>
  <c r="G56" i="5" s="1"/>
  <c r="I56" i="5" s="1"/>
  <c r="B57" i="5" s="1"/>
  <c r="L54" i="8"/>
  <c r="G54" i="8"/>
  <c r="H54" i="8" s="1"/>
  <c r="D55" i="8"/>
  <c r="C55" i="8"/>
  <c r="A56" i="8"/>
  <c r="B55" i="8"/>
  <c r="M55" i="8"/>
  <c r="K55" i="8"/>
  <c r="J55" i="8"/>
  <c r="I55" i="8"/>
  <c r="F55" i="8"/>
  <c r="E55" i="8"/>
  <c r="L55" i="8" l="1"/>
  <c r="G55" i="8"/>
  <c r="H55" i="8" s="1"/>
  <c r="A58" i="5"/>
  <c r="E57" i="5"/>
  <c r="H57" i="5" s="1"/>
  <c r="C57" i="5"/>
  <c r="G57" i="5" s="1"/>
  <c r="I57" i="5" s="1"/>
  <c r="B58" i="5" s="1"/>
  <c r="C56" i="8"/>
  <c r="A57" i="8"/>
  <c r="B56" i="8"/>
  <c r="M56" i="8"/>
  <c r="J56" i="8"/>
  <c r="F56" i="8"/>
  <c r="E56" i="8"/>
  <c r="D56" i="8"/>
  <c r="K56" i="8"/>
  <c r="I56" i="8"/>
  <c r="A59" i="5" l="1"/>
  <c r="E58" i="5"/>
  <c r="H58" i="5" s="1"/>
  <c r="C58" i="5"/>
  <c r="G58" i="5" s="1"/>
  <c r="I58" i="5" s="1"/>
  <c r="B59" i="5" s="1"/>
  <c r="A58" i="8"/>
  <c r="B57" i="8"/>
  <c r="M57" i="8"/>
  <c r="K57" i="8"/>
  <c r="I57" i="8"/>
  <c r="J57" i="8"/>
  <c r="F57" i="8"/>
  <c r="E57" i="8"/>
  <c r="D57" i="8"/>
  <c r="C57" i="8"/>
  <c r="L56" i="8"/>
  <c r="G56" i="8"/>
  <c r="H56" i="8" s="1"/>
  <c r="M58" i="8" l="1"/>
  <c r="K58" i="8"/>
  <c r="J58" i="8"/>
  <c r="C58" i="8"/>
  <c r="B58" i="8"/>
  <c r="A59" i="8"/>
  <c r="I58" i="8"/>
  <c r="F58" i="8"/>
  <c r="E58" i="8"/>
  <c r="D58" i="8"/>
  <c r="E59" i="5"/>
  <c r="H59" i="5" s="1"/>
  <c r="C59" i="5"/>
  <c r="G59" i="5" s="1"/>
  <c r="I59" i="5" s="1"/>
  <c r="B60" i="5" s="1"/>
  <c r="A60" i="5"/>
  <c r="L57" i="8"/>
  <c r="G57" i="8"/>
  <c r="H57" i="8" s="1"/>
  <c r="L58" i="8" l="1"/>
  <c r="G58" i="8"/>
  <c r="H58" i="8" s="1"/>
  <c r="K59" i="8"/>
  <c r="J59" i="8"/>
  <c r="I59" i="8"/>
  <c r="F59" i="8"/>
  <c r="E59" i="8"/>
  <c r="D59" i="8"/>
  <c r="C59" i="8"/>
  <c r="B59" i="8"/>
  <c r="A60" i="8"/>
  <c r="M59" i="8"/>
  <c r="A61" i="5"/>
  <c r="E60" i="5"/>
  <c r="H60" i="5" s="1"/>
  <c r="C60" i="5"/>
  <c r="G60" i="5" s="1"/>
  <c r="I60" i="5" s="1"/>
  <c r="B61" i="5" s="1"/>
  <c r="L59" i="8" l="1"/>
  <c r="G59" i="8"/>
  <c r="H59" i="8" s="1"/>
  <c r="K60" i="8"/>
  <c r="J60" i="8"/>
  <c r="I60" i="8"/>
  <c r="F60" i="8"/>
  <c r="A61" i="8"/>
  <c r="M60" i="8"/>
  <c r="E60" i="8"/>
  <c r="D60" i="8"/>
  <c r="C60" i="8"/>
  <c r="B60" i="8"/>
  <c r="E61" i="5"/>
  <c r="H61" i="5" s="1"/>
  <c r="C61" i="5"/>
  <c r="G61" i="5" s="1"/>
  <c r="I61" i="5" s="1"/>
  <c r="B62" i="5" s="1"/>
  <c r="A62" i="5"/>
  <c r="L60" i="8" l="1"/>
  <c r="G60" i="8"/>
  <c r="H60" i="8" s="1"/>
  <c r="J61" i="8"/>
  <c r="I61" i="8"/>
  <c r="E61" i="8"/>
  <c r="C61" i="8"/>
  <c r="B61" i="8"/>
  <c r="A62" i="8"/>
  <c r="M61" i="8"/>
  <c r="K61" i="8"/>
  <c r="F61" i="8"/>
  <c r="D61" i="8"/>
  <c r="E62" i="5"/>
  <c r="H62" i="5" s="1"/>
  <c r="C62" i="5"/>
  <c r="G62" i="5" s="1"/>
  <c r="I62" i="5" s="1"/>
  <c r="B63" i="5" s="1"/>
  <c r="A63" i="5"/>
  <c r="I62" i="8" l="1"/>
  <c r="F62" i="8"/>
  <c r="D62" i="8"/>
  <c r="M62" i="8"/>
  <c r="K62" i="8"/>
  <c r="J62" i="8"/>
  <c r="E62" i="8"/>
  <c r="C62" i="8"/>
  <c r="B62" i="8"/>
  <c r="A63" i="8"/>
  <c r="C63" i="5"/>
  <c r="G63" i="5" s="1"/>
  <c r="I63" i="5" s="1"/>
  <c r="B64" i="5" s="1"/>
  <c r="A64" i="5"/>
  <c r="E63" i="5"/>
  <c r="H63" i="5" s="1"/>
  <c r="G61" i="8"/>
  <c r="H61" i="8" s="1"/>
  <c r="L61" i="8"/>
  <c r="G62" i="8" l="1"/>
  <c r="H62" i="8" s="1"/>
  <c r="L62" i="8"/>
  <c r="F63" i="8"/>
  <c r="E63" i="8"/>
  <c r="C63" i="8"/>
  <c r="K63" i="8"/>
  <c r="A64" i="8"/>
  <c r="M63" i="8"/>
  <c r="J63" i="8"/>
  <c r="I63" i="8"/>
  <c r="D63" i="8"/>
  <c r="B63" i="8"/>
  <c r="A65" i="5"/>
  <c r="E64" i="5"/>
  <c r="H64" i="5" s="1"/>
  <c r="C64" i="5"/>
  <c r="G64" i="5" s="1"/>
  <c r="I64" i="5" s="1"/>
  <c r="B65" i="5" s="1"/>
  <c r="G63" i="8" l="1"/>
  <c r="H63" i="8" s="1"/>
  <c r="L63" i="8"/>
  <c r="F64" i="8"/>
  <c r="E64" i="8"/>
  <c r="D64" i="8"/>
  <c r="A65" i="8"/>
  <c r="B64" i="8"/>
  <c r="J64" i="8"/>
  <c r="K64" i="8"/>
  <c r="I64" i="8"/>
  <c r="C64" i="8"/>
  <c r="M64" i="8"/>
  <c r="E65" i="5"/>
  <c r="H65" i="5" s="1"/>
  <c r="A66" i="5"/>
  <c r="C65" i="5"/>
  <c r="G65" i="5" s="1"/>
  <c r="I65" i="5" s="1"/>
  <c r="B66" i="5" s="1"/>
  <c r="F65" i="8" l="1"/>
  <c r="E65" i="8"/>
  <c r="D65" i="8"/>
  <c r="C65" i="8"/>
  <c r="A66" i="8"/>
  <c r="B65" i="8"/>
  <c r="M65" i="8"/>
  <c r="I65" i="8"/>
  <c r="K65" i="8"/>
  <c r="J65" i="8"/>
  <c r="G64" i="8"/>
  <c r="H64" i="8" s="1"/>
  <c r="L64" i="8"/>
  <c r="E66" i="5"/>
  <c r="H66" i="5" s="1"/>
  <c r="A67" i="5"/>
  <c r="C66" i="5"/>
  <c r="G66" i="5" s="1"/>
  <c r="I66" i="5" s="1"/>
  <c r="B67" i="5" s="1"/>
  <c r="L65" i="8" l="1"/>
  <c r="G65" i="8"/>
  <c r="H65" i="8" s="1"/>
  <c r="E66" i="8"/>
  <c r="D66" i="8"/>
  <c r="C66" i="8"/>
  <c r="A67" i="8"/>
  <c r="B66" i="8"/>
  <c r="M66" i="8"/>
  <c r="K66" i="8"/>
  <c r="J66" i="8"/>
  <c r="I66" i="8"/>
  <c r="F66" i="8"/>
  <c r="C67" i="5"/>
  <c r="G67" i="5" s="1"/>
  <c r="I67" i="5" s="1"/>
  <c r="B68" i="5" s="1"/>
  <c r="A68" i="5"/>
  <c r="E67" i="5"/>
  <c r="H67" i="5" s="1"/>
  <c r="L66" i="8" l="1"/>
  <c r="G66" i="8"/>
  <c r="H66" i="8" s="1"/>
  <c r="E68" i="5"/>
  <c r="H68" i="5" s="1"/>
  <c r="A69" i="5"/>
  <c r="C68" i="5"/>
  <c r="G68" i="5" s="1"/>
  <c r="I68" i="5" s="1"/>
  <c r="B69" i="5" s="1"/>
  <c r="D67" i="8"/>
  <c r="C67" i="8"/>
  <c r="A68" i="8"/>
  <c r="B67" i="8"/>
  <c r="M67" i="8"/>
  <c r="K67" i="8"/>
  <c r="J67" i="8"/>
  <c r="I67" i="8"/>
  <c r="F67" i="8"/>
  <c r="E67" i="8"/>
  <c r="A70" i="5" l="1"/>
  <c r="E69" i="5"/>
  <c r="H69" i="5" s="1"/>
  <c r="C69" i="5"/>
  <c r="G69" i="5" s="1"/>
  <c r="I69" i="5" s="1"/>
  <c r="B70" i="5" s="1"/>
  <c r="C68" i="8"/>
  <c r="A69" i="8"/>
  <c r="B68" i="8"/>
  <c r="M68" i="8"/>
  <c r="K68" i="8"/>
  <c r="J68" i="8"/>
  <c r="F68" i="8"/>
  <c r="I68" i="8"/>
  <c r="E68" i="8"/>
  <c r="D68" i="8"/>
  <c r="L67" i="8"/>
  <c r="G67" i="8"/>
  <c r="H67" i="8" s="1"/>
  <c r="L68" i="8" l="1"/>
  <c r="G68" i="8"/>
  <c r="H68" i="8" s="1"/>
  <c r="A71" i="5"/>
  <c r="E70" i="5"/>
  <c r="H70" i="5" s="1"/>
  <c r="C70" i="5"/>
  <c r="G70" i="5" s="1"/>
  <c r="I70" i="5" s="1"/>
  <c r="B71" i="5" s="1"/>
  <c r="A70" i="8"/>
  <c r="B69" i="8"/>
  <c r="M69" i="8"/>
  <c r="K69" i="8"/>
  <c r="J69" i="8"/>
  <c r="I69" i="8"/>
  <c r="F69" i="8"/>
  <c r="E69" i="8"/>
  <c r="D69" i="8"/>
  <c r="C69" i="8"/>
  <c r="L69" i="8" l="1"/>
  <c r="G69" i="8"/>
  <c r="H69" i="8" s="1"/>
  <c r="M70" i="8"/>
  <c r="K70" i="8"/>
  <c r="J70" i="8"/>
  <c r="I70" i="8"/>
  <c r="E70" i="8"/>
  <c r="D70" i="8"/>
  <c r="A71" i="8"/>
  <c r="F70" i="8"/>
  <c r="C70" i="8"/>
  <c r="B70" i="8"/>
  <c r="E71" i="5"/>
  <c r="H71" i="5" s="1"/>
  <c r="A72" i="5"/>
  <c r="C71" i="5"/>
  <c r="G71" i="5" s="1"/>
  <c r="I71" i="5" s="1"/>
  <c r="B72" i="5" s="1"/>
  <c r="L70" i="8" l="1"/>
  <c r="G70" i="8"/>
  <c r="H70" i="8" s="1"/>
  <c r="K71" i="8"/>
  <c r="J71" i="8"/>
  <c r="I71" i="8"/>
  <c r="D71" i="8"/>
  <c r="C71" i="8"/>
  <c r="A72" i="8"/>
  <c r="M71" i="8"/>
  <c r="F71" i="8"/>
  <c r="E71" i="8"/>
  <c r="B71" i="8"/>
  <c r="E72" i="5"/>
  <c r="H72" i="5" s="1"/>
  <c r="C72" i="5"/>
  <c r="G72" i="5" s="1"/>
  <c r="I72" i="5" s="1"/>
  <c r="B73" i="5" s="1"/>
  <c r="A73" i="5"/>
  <c r="K72" i="8" l="1"/>
  <c r="J72" i="8"/>
  <c r="I72" i="8"/>
  <c r="F72" i="8"/>
  <c r="C72" i="8"/>
  <c r="A73" i="8"/>
  <c r="B72" i="8"/>
  <c r="D72" i="8"/>
  <c r="M72" i="8"/>
  <c r="E72" i="8"/>
  <c r="L71" i="8"/>
  <c r="G71" i="8"/>
  <c r="H71" i="8" s="1"/>
  <c r="E73" i="5"/>
  <c r="H73" i="5" s="1"/>
  <c r="C73" i="5"/>
  <c r="G73" i="5" s="1"/>
  <c r="I73" i="5" s="1"/>
  <c r="B74" i="5" s="1"/>
  <c r="A74" i="5"/>
  <c r="G72" i="8" l="1"/>
  <c r="H72" i="8" s="1"/>
  <c r="L72" i="8"/>
  <c r="J73" i="8"/>
  <c r="I73" i="8"/>
  <c r="F73" i="8"/>
  <c r="E73" i="8"/>
  <c r="A74" i="8"/>
  <c r="B73" i="8"/>
  <c r="M73" i="8"/>
  <c r="K73" i="8"/>
  <c r="D73" i="8"/>
  <c r="C73" i="8"/>
  <c r="E74" i="5"/>
  <c r="H74" i="5" s="1"/>
  <c r="A75" i="5"/>
  <c r="C74" i="5"/>
  <c r="G74" i="5" s="1"/>
  <c r="I74" i="5" s="1"/>
  <c r="B75" i="5" s="1"/>
  <c r="G73" i="8" l="1"/>
  <c r="H73" i="8" s="1"/>
  <c r="L73" i="8"/>
  <c r="A76" i="5"/>
  <c r="E75" i="5"/>
  <c r="H75" i="5" s="1"/>
  <c r="C75" i="5"/>
  <c r="G75" i="5" s="1"/>
  <c r="I75" i="5" s="1"/>
  <c r="B76" i="5" s="1"/>
  <c r="I74" i="8"/>
  <c r="F74" i="8"/>
  <c r="E74" i="8"/>
  <c r="D74" i="8"/>
  <c r="M74" i="8"/>
  <c r="A75" i="8"/>
  <c r="K74" i="8"/>
  <c r="J74" i="8"/>
  <c r="C74" i="8"/>
  <c r="B74" i="8"/>
  <c r="F75" i="8" l="1"/>
  <c r="E75" i="8"/>
  <c r="D75" i="8"/>
  <c r="C75" i="8"/>
  <c r="K75" i="8"/>
  <c r="A76" i="8"/>
  <c r="M75" i="8"/>
  <c r="J75" i="8"/>
  <c r="I75" i="8"/>
  <c r="B75" i="8"/>
  <c r="E76" i="5"/>
  <c r="H76" i="5" s="1"/>
  <c r="C76" i="5"/>
  <c r="G76" i="5" s="1"/>
  <c r="I76" i="5" s="1"/>
  <c r="B77" i="5" s="1"/>
  <c r="A77" i="5"/>
  <c r="G74" i="8"/>
  <c r="H74" i="8" s="1"/>
  <c r="L74" i="8"/>
  <c r="G75" i="8" l="1"/>
  <c r="H75" i="8" s="1"/>
  <c r="L75" i="8"/>
  <c r="M76" i="8"/>
  <c r="K76" i="8"/>
  <c r="F76" i="8"/>
  <c r="E76" i="8"/>
  <c r="D76" i="8"/>
  <c r="C76" i="8"/>
  <c r="B76" i="8"/>
  <c r="A77" i="8"/>
  <c r="J76" i="8"/>
  <c r="I76" i="8"/>
  <c r="E77" i="5"/>
  <c r="H77" i="5" s="1"/>
  <c r="C77" i="5"/>
  <c r="G77" i="5" s="1"/>
  <c r="I77" i="5" s="1"/>
  <c r="B78" i="5" s="1"/>
  <c r="A78" i="5"/>
  <c r="K77" i="8" l="1"/>
  <c r="J77" i="8"/>
  <c r="I77" i="8"/>
  <c r="M77" i="8"/>
  <c r="F77" i="8"/>
  <c r="E77" i="8"/>
  <c r="D77" i="8"/>
  <c r="A78" i="8"/>
  <c r="C77" i="8"/>
  <c r="B77" i="8"/>
  <c r="C78" i="5"/>
  <c r="G78" i="5" s="1"/>
  <c r="I78" i="5" s="1"/>
  <c r="B79" i="5" s="1"/>
  <c r="A79" i="5"/>
  <c r="E78" i="5"/>
  <c r="H78" i="5" s="1"/>
  <c r="L76" i="8"/>
  <c r="G76" i="8"/>
  <c r="H76" i="8" s="1"/>
  <c r="K78" i="8" l="1"/>
  <c r="J78" i="8"/>
  <c r="I78" i="8"/>
  <c r="A79" i="8"/>
  <c r="M78" i="8"/>
  <c r="D78" i="8"/>
  <c r="C78" i="8"/>
  <c r="E78" i="8"/>
  <c r="B78" i="8"/>
  <c r="F78" i="8"/>
  <c r="L77" i="8"/>
  <c r="G77" i="8"/>
  <c r="H77" i="8" s="1"/>
  <c r="A80" i="5"/>
  <c r="E79" i="5"/>
  <c r="H79" i="5" s="1"/>
  <c r="C79" i="5"/>
  <c r="G79" i="5" s="1"/>
  <c r="I79" i="5" s="1"/>
  <c r="B80" i="5" s="1"/>
  <c r="J79" i="8" l="1"/>
  <c r="I79" i="8"/>
  <c r="C79" i="8"/>
  <c r="B79" i="8"/>
  <c r="A80" i="8"/>
  <c r="K79" i="8"/>
  <c r="F79" i="8"/>
  <c r="M79" i="8"/>
  <c r="E79" i="8"/>
  <c r="D79" i="8"/>
  <c r="L78" i="8"/>
  <c r="G78" i="8"/>
  <c r="H78" i="8" s="1"/>
  <c r="E80" i="5"/>
  <c r="H80" i="5" s="1"/>
  <c r="A81" i="5"/>
  <c r="C80" i="5"/>
  <c r="G80" i="5" s="1"/>
  <c r="I80" i="5" s="1"/>
  <c r="B81" i="5" s="1"/>
  <c r="G79" i="8" l="1"/>
  <c r="H79" i="8" s="1"/>
  <c r="L79" i="8"/>
  <c r="I80" i="8"/>
  <c r="F80" i="8"/>
  <c r="J80" i="8"/>
  <c r="E80" i="8"/>
  <c r="D80" i="8"/>
  <c r="C80" i="8"/>
  <c r="B80" i="8"/>
  <c r="A81" i="8"/>
  <c r="M80" i="8"/>
  <c r="K80" i="8"/>
  <c r="A82" i="5"/>
  <c r="E81" i="5"/>
  <c r="H81" i="5" s="1"/>
  <c r="C81" i="5"/>
  <c r="G81" i="5" s="1"/>
  <c r="I81" i="5" s="1"/>
  <c r="B82" i="5" s="1"/>
  <c r="F81" i="8" l="1"/>
  <c r="E81" i="8"/>
  <c r="M81" i="8"/>
  <c r="K81" i="8"/>
  <c r="J81" i="8"/>
  <c r="I81" i="8"/>
  <c r="D81" i="8"/>
  <c r="A82" i="8"/>
  <c r="C81" i="8"/>
  <c r="B81" i="8"/>
  <c r="A83" i="5"/>
  <c r="E82" i="5"/>
  <c r="H82" i="5" s="1"/>
  <c r="C82" i="5"/>
  <c r="G82" i="5" s="1"/>
  <c r="I82" i="5" s="1"/>
  <c r="B83" i="5" s="1"/>
  <c r="G80" i="8"/>
  <c r="H80" i="8" s="1"/>
  <c r="L80" i="8"/>
  <c r="F82" i="8" l="1"/>
  <c r="E82" i="8"/>
  <c r="D82" i="8"/>
  <c r="A83" i="8"/>
  <c r="M82" i="8"/>
  <c r="K82" i="8"/>
  <c r="C82" i="8"/>
  <c r="I82" i="8"/>
  <c r="B82" i="8"/>
  <c r="J82" i="8"/>
  <c r="E83" i="5"/>
  <c r="H83" i="5" s="1"/>
  <c r="C83" i="5"/>
  <c r="G83" i="5" s="1"/>
  <c r="I83" i="5" s="1"/>
  <c r="B84" i="5" s="1"/>
  <c r="A84" i="5"/>
  <c r="G81" i="8"/>
  <c r="H81" i="8" s="1"/>
  <c r="L81" i="8"/>
  <c r="F83" i="8" l="1"/>
  <c r="E83" i="8"/>
  <c r="D83" i="8"/>
  <c r="C83" i="8"/>
  <c r="B83" i="8"/>
  <c r="A84" i="8"/>
  <c r="K83" i="8"/>
  <c r="J83" i="8"/>
  <c r="M83" i="8"/>
  <c r="I83" i="8"/>
  <c r="G82" i="8"/>
  <c r="H82" i="8" s="1"/>
  <c r="L82" i="8"/>
  <c r="E84" i="5"/>
  <c r="H84" i="5" s="1"/>
  <c r="A85" i="5"/>
  <c r="C84" i="5"/>
  <c r="G84" i="5" s="1"/>
  <c r="I84" i="5" s="1"/>
  <c r="B85" i="5" s="1"/>
  <c r="G83" i="8" l="1"/>
  <c r="H83" i="8" s="1"/>
  <c r="L83" i="8"/>
  <c r="E84" i="8"/>
  <c r="D84" i="8"/>
  <c r="C84" i="8"/>
  <c r="A85" i="8"/>
  <c r="B84" i="8"/>
  <c r="J84" i="8"/>
  <c r="I84" i="8"/>
  <c r="F84" i="8"/>
  <c r="M84" i="8"/>
  <c r="K84" i="8"/>
  <c r="A86" i="5"/>
  <c r="E85" i="5"/>
  <c r="H85" i="5" s="1"/>
  <c r="C85" i="5"/>
  <c r="G85" i="5" s="1"/>
  <c r="I85" i="5" s="1"/>
  <c r="B86" i="5" s="1"/>
  <c r="G84" i="8" l="1"/>
  <c r="H84" i="8" s="1"/>
  <c r="L84" i="8"/>
  <c r="E86" i="5"/>
  <c r="H86" i="5" s="1"/>
  <c r="C86" i="5"/>
  <c r="G86" i="5" s="1"/>
  <c r="I86" i="5" s="1"/>
  <c r="B87" i="5" s="1"/>
  <c r="A87" i="5"/>
  <c r="D85" i="8"/>
  <c r="C85" i="8"/>
  <c r="A86" i="8"/>
  <c r="B85" i="8"/>
  <c r="M85" i="8"/>
  <c r="K85" i="8"/>
  <c r="J85" i="8"/>
  <c r="I85" i="8"/>
  <c r="E85" i="8"/>
  <c r="F85" i="8"/>
  <c r="L85" i="8" l="1"/>
  <c r="G85" i="8"/>
  <c r="H85" i="8" s="1"/>
  <c r="C86" i="8"/>
  <c r="A87" i="8"/>
  <c r="B86" i="8"/>
  <c r="M86" i="8"/>
  <c r="D86" i="8"/>
  <c r="K86" i="8"/>
  <c r="I86" i="8"/>
  <c r="F86" i="8"/>
  <c r="E86" i="8"/>
  <c r="J86" i="8"/>
  <c r="E87" i="5"/>
  <c r="H87" i="5" s="1"/>
  <c r="A88" i="5"/>
  <c r="C87" i="5"/>
  <c r="G87" i="5" s="1"/>
  <c r="I87" i="5" s="1"/>
  <c r="B88" i="5" s="1"/>
  <c r="A88" i="8" l="1"/>
  <c r="B87" i="8"/>
  <c r="M87" i="8"/>
  <c r="K87" i="8"/>
  <c r="F87" i="8"/>
  <c r="E87" i="8"/>
  <c r="D87" i="8"/>
  <c r="C87" i="8"/>
  <c r="J87" i="8"/>
  <c r="I87" i="8"/>
  <c r="E88" i="5"/>
  <c r="H88" i="5" s="1"/>
  <c r="C88" i="5"/>
  <c r="G88" i="5" s="1"/>
  <c r="I88" i="5" s="1"/>
  <c r="B89" i="5" s="1"/>
  <c r="A89" i="5"/>
  <c r="L86" i="8"/>
  <c r="G86" i="8"/>
  <c r="H86" i="8" s="1"/>
  <c r="L87" i="8" l="1"/>
  <c r="G87" i="8"/>
  <c r="H87" i="8" s="1"/>
  <c r="E89" i="5"/>
  <c r="H89" i="5" s="1"/>
  <c r="C89" i="5"/>
  <c r="G89" i="5" s="1"/>
  <c r="I89" i="5" s="1"/>
  <c r="B90" i="5" s="1"/>
  <c r="A90" i="5"/>
  <c r="M88" i="8"/>
  <c r="K88" i="8"/>
  <c r="J88" i="8"/>
  <c r="A89" i="8"/>
  <c r="I88" i="8"/>
  <c r="F88" i="8"/>
  <c r="E88" i="8"/>
  <c r="B88" i="8"/>
  <c r="D88" i="8"/>
  <c r="C88" i="8"/>
  <c r="K89" i="8" l="1"/>
  <c r="J89" i="8"/>
  <c r="I89" i="8"/>
  <c r="A90" i="8"/>
  <c r="M89" i="8"/>
  <c r="E89" i="8"/>
  <c r="D89" i="8"/>
  <c r="F89" i="8"/>
  <c r="C89" i="8"/>
  <c r="B89" i="8"/>
  <c r="L88" i="8"/>
  <c r="G88" i="8"/>
  <c r="H88" i="8" s="1"/>
  <c r="E90" i="5"/>
  <c r="H90" i="5" s="1"/>
  <c r="C90" i="5"/>
  <c r="G90" i="5" s="1"/>
  <c r="I90" i="5" s="1"/>
  <c r="B91" i="5" s="1"/>
  <c r="A91" i="5"/>
  <c r="K90" i="8" l="1"/>
  <c r="J90" i="8"/>
  <c r="I90" i="8"/>
  <c r="D90" i="8"/>
  <c r="C90" i="8"/>
  <c r="B90" i="8"/>
  <c r="M90" i="8"/>
  <c r="F90" i="8"/>
  <c r="E90" i="8"/>
  <c r="A91" i="8"/>
  <c r="L89" i="8"/>
  <c r="G89" i="8"/>
  <c r="H89" i="8" s="1"/>
  <c r="C91" i="5"/>
  <c r="G91" i="5" s="1"/>
  <c r="I91" i="5" s="1"/>
  <c r="B92" i="5" s="1"/>
  <c r="A92" i="5"/>
  <c r="E91" i="5"/>
  <c r="H91" i="5" s="1"/>
  <c r="I92" i="5" l="1"/>
  <c r="B93" i="5" s="1"/>
  <c r="L90" i="8"/>
  <c r="G90" i="8"/>
  <c r="H90" i="8" s="1"/>
  <c r="J91" i="8"/>
  <c r="I91" i="8"/>
  <c r="K91" i="8"/>
  <c r="F91" i="8"/>
  <c r="E91" i="8"/>
  <c r="D91" i="8"/>
  <c r="C91" i="8"/>
  <c r="B91" i="8"/>
  <c r="A92" i="8"/>
  <c r="M91" i="8"/>
  <c r="E92" i="5"/>
  <c r="H92" i="5" s="1"/>
  <c r="C92" i="5"/>
  <c r="G92" i="5" s="1"/>
  <c r="A93" i="5"/>
  <c r="G91" i="8" l="1"/>
  <c r="H91" i="8" s="1"/>
  <c r="L91" i="8"/>
  <c r="A94" i="5"/>
  <c r="E93" i="5"/>
  <c r="H93" i="5" s="1"/>
  <c r="C93" i="5"/>
  <c r="G93" i="5" s="1"/>
  <c r="I93" i="5" s="1"/>
  <c r="B94" i="5" s="1"/>
  <c r="I92" i="8"/>
  <c r="F92" i="8"/>
  <c r="A93" i="8"/>
  <c r="M92" i="8"/>
  <c r="K92" i="8"/>
  <c r="J92" i="8"/>
  <c r="E92" i="8"/>
  <c r="B92" i="8"/>
  <c r="D92" i="8"/>
  <c r="C92" i="8"/>
  <c r="C94" i="5" l="1"/>
  <c r="G94" i="5" s="1"/>
  <c r="I94" i="5" s="1"/>
  <c r="B95" i="5" s="1"/>
  <c r="E94" i="5"/>
  <c r="H94" i="5" s="1"/>
  <c r="A95" i="5"/>
  <c r="G92" i="8"/>
  <c r="H92" i="8" s="1"/>
  <c r="L92" i="8"/>
  <c r="F93" i="8"/>
  <c r="E93" i="8"/>
  <c r="A94" i="8"/>
  <c r="M93" i="8"/>
  <c r="I93" i="8"/>
  <c r="D93" i="8"/>
  <c r="K93" i="8"/>
  <c r="J93" i="8"/>
  <c r="C93" i="8"/>
  <c r="B93" i="8"/>
  <c r="G93" i="8" l="1"/>
  <c r="H93" i="8" s="1"/>
  <c r="L93" i="8"/>
  <c r="E95" i="5"/>
  <c r="H95" i="5" s="1"/>
  <c r="A96" i="5"/>
  <c r="C95" i="5"/>
  <c r="G95" i="5" s="1"/>
  <c r="I95" i="5" s="1"/>
  <c r="B96" i="5" s="1"/>
  <c r="F94" i="8"/>
  <c r="E94" i="8"/>
  <c r="D94" i="8"/>
  <c r="C94" i="8"/>
  <c r="B94" i="8"/>
  <c r="K94" i="8"/>
  <c r="M94" i="8"/>
  <c r="J94" i="8"/>
  <c r="I94" i="8"/>
  <c r="A95" i="8"/>
  <c r="G94" i="8" l="1"/>
  <c r="H94" i="8" s="1"/>
  <c r="L94" i="8"/>
  <c r="E96" i="5"/>
  <c r="H96" i="5" s="1"/>
  <c r="C96" i="5"/>
  <c r="G96" i="5" s="1"/>
  <c r="I96" i="5" s="1"/>
  <c r="B97" i="5" s="1"/>
  <c r="A97" i="5"/>
  <c r="F95" i="8"/>
  <c r="E95" i="8"/>
  <c r="D95" i="8"/>
  <c r="C95" i="8"/>
  <c r="K95" i="8"/>
  <c r="J95" i="8"/>
  <c r="I95" i="8"/>
  <c r="B95" i="8"/>
  <c r="A96" i="8"/>
  <c r="M95" i="8"/>
  <c r="E96" i="8" l="1"/>
  <c r="D96" i="8"/>
  <c r="C96" i="8"/>
  <c r="A97" i="8"/>
  <c r="B96" i="8"/>
  <c r="M96" i="8"/>
  <c r="K96" i="8"/>
  <c r="J96" i="8"/>
  <c r="I96" i="8"/>
  <c r="F96" i="8"/>
  <c r="A98" i="5"/>
  <c r="E97" i="5"/>
  <c r="H97" i="5" s="1"/>
  <c r="C97" i="5"/>
  <c r="G97" i="5" s="1"/>
  <c r="I97" i="5" s="1"/>
  <c r="B98" i="5" s="1"/>
  <c r="G95" i="8"/>
  <c r="H95" i="8" s="1"/>
  <c r="L95" i="8"/>
  <c r="D97" i="8" l="1"/>
  <c r="C97" i="8"/>
  <c r="A98" i="8"/>
  <c r="B97" i="8"/>
  <c r="M97" i="8"/>
  <c r="E97" i="8"/>
  <c r="I97" i="8"/>
  <c r="K97" i="8"/>
  <c r="J97" i="8"/>
  <c r="F97" i="8"/>
  <c r="L96" i="8"/>
  <c r="G96" i="8"/>
  <c r="H96" i="8" s="1"/>
  <c r="E98" i="5"/>
  <c r="H98" i="5" s="1"/>
  <c r="A99" i="5"/>
  <c r="C98" i="5"/>
  <c r="G98" i="5" s="1"/>
  <c r="I98" i="5" s="1"/>
  <c r="B99" i="5" s="1"/>
  <c r="C98" i="8" l="1"/>
  <c r="A99" i="8"/>
  <c r="B98" i="8"/>
  <c r="M98" i="8"/>
  <c r="F98" i="8"/>
  <c r="E98" i="8"/>
  <c r="D98" i="8"/>
  <c r="K98" i="8"/>
  <c r="J98" i="8"/>
  <c r="I98" i="8"/>
  <c r="C99" i="5"/>
  <c r="G99" i="5" s="1"/>
  <c r="I99" i="5" s="1"/>
  <c r="B100" i="5" s="1"/>
  <c r="A100" i="5"/>
  <c r="E99" i="5"/>
  <c r="H99" i="5" s="1"/>
  <c r="L97" i="8"/>
  <c r="G97" i="8"/>
  <c r="H97" i="8" s="1"/>
  <c r="A100" i="8" l="1"/>
  <c r="B99" i="8"/>
  <c r="M99" i="8"/>
  <c r="K99" i="8"/>
  <c r="J99" i="8"/>
  <c r="I99" i="8"/>
  <c r="F99" i="8"/>
  <c r="C99" i="8"/>
  <c r="D99" i="8"/>
  <c r="E99" i="8"/>
  <c r="L98" i="8"/>
  <c r="G98" i="8"/>
  <c r="H98" i="8" s="1"/>
  <c r="A101" i="5"/>
  <c r="E100" i="5"/>
  <c r="H100" i="5" s="1"/>
  <c r="C100" i="5"/>
  <c r="G100" i="5" s="1"/>
  <c r="I100" i="5" s="1"/>
  <c r="B101" i="5" s="1"/>
  <c r="M100" i="8" l="1"/>
  <c r="K100" i="8"/>
  <c r="J100" i="8"/>
  <c r="B100" i="8"/>
  <c r="A101" i="8"/>
  <c r="I100" i="8"/>
  <c r="F100" i="8"/>
  <c r="E100" i="8"/>
  <c r="D100" i="8"/>
  <c r="C100" i="8"/>
  <c r="L99" i="8"/>
  <c r="G99" i="8"/>
  <c r="H99" i="8" s="1"/>
  <c r="E101" i="5"/>
  <c r="H101" i="5" s="1"/>
  <c r="A102" i="5"/>
  <c r="C101" i="5"/>
  <c r="G101" i="5" s="1"/>
  <c r="I101" i="5" s="1"/>
  <c r="B102" i="5" s="1"/>
  <c r="A103" i="5" l="1"/>
  <c r="E102" i="5"/>
  <c r="H102" i="5" s="1"/>
  <c r="C102" i="5"/>
  <c r="G102" i="5" s="1"/>
  <c r="I102" i="5" s="1"/>
  <c r="B103" i="5" s="1"/>
  <c r="L100" i="8"/>
  <c r="G100" i="8"/>
  <c r="H100" i="8" s="1"/>
  <c r="K101" i="8"/>
  <c r="J101" i="8"/>
  <c r="I101" i="8"/>
  <c r="E101" i="8"/>
  <c r="D101" i="8"/>
  <c r="C101" i="8"/>
  <c r="B101" i="8"/>
  <c r="M101" i="8"/>
  <c r="A102" i="8"/>
  <c r="F101" i="8"/>
  <c r="L101" i="8" l="1"/>
  <c r="G101" i="8"/>
  <c r="H101" i="8" s="1"/>
  <c r="E103" i="5"/>
  <c r="H103" i="5" s="1"/>
  <c r="A104" i="5"/>
  <c r="C103" i="5"/>
  <c r="G103" i="5" s="1"/>
  <c r="I103" i="5" s="1"/>
  <c r="B104" i="5" s="1"/>
  <c r="K102" i="8"/>
  <c r="J102" i="8"/>
  <c r="I102" i="8"/>
  <c r="F102" i="8"/>
  <c r="E102" i="8"/>
  <c r="D102" i="8"/>
  <c r="C102" i="8"/>
  <c r="A103" i="8"/>
  <c r="M102" i="8"/>
  <c r="B102" i="8"/>
  <c r="E104" i="5" l="1"/>
  <c r="H104" i="5" s="1"/>
  <c r="A105" i="5"/>
  <c r="C104" i="5"/>
  <c r="G104" i="5" s="1"/>
  <c r="I104" i="5" s="1"/>
  <c r="B105" i="5" s="1"/>
  <c r="L102" i="8"/>
  <c r="G102" i="8"/>
  <c r="H102" i="8" s="1"/>
  <c r="J103" i="8"/>
  <c r="I103" i="8"/>
  <c r="A104" i="8"/>
  <c r="M103" i="8"/>
  <c r="K103" i="8"/>
  <c r="F103" i="8"/>
  <c r="C103" i="8"/>
  <c r="B103" i="8"/>
  <c r="D103" i="8"/>
  <c r="E103" i="8"/>
  <c r="I104" i="8" l="1"/>
  <c r="F104" i="8"/>
  <c r="B104" i="8"/>
  <c r="A105" i="8"/>
  <c r="M104" i="8"/>
  <c r="J104" i="8"/>
  <c r="E104" i="8"/>
  <c r="K104" i="8"/>
  <c r="D104" i="8"/>
  <c r="C104" i="8"/>
  <c r="G103" i="8"/>
  <c r="H103" i="8" s="1"/>
  <c r="L103" i="8"/>
  <c r="E105" i="5"/>
  <c r="H105" i="5" s="1"/>
  <c r="C105" i="5"/>
  <c r="G105" i="5" s="1"/>
  <c r="I105" i="5" s="1"/>
  <c r="B106" i="5" s="1"/>
  <c r="A106" i="5"/>
  <c r="E106" i="5" l="1"/>
  <c r="H106" i="5" s="1"/>
  <c r="A107" i="5"/>
  <c r="C106" i="5"/>
  <c r="G106" i="5" s="1"/>
  <c r="I106" i="5" s="1"/>
  <c r="B107" i="5" s="1"/>
  <c r="F105" i="8"/>
  <c r="E105" i="8"/>
  <c r="I105" i="8"/>
  <c r="D105" i="8"/>
  <c r="C105" i="8"/>
  <c r="B105" i="8"/>
  <c r="M105" i="8"/>
  <c r="A106" i="8"/>
  <c r="K105" i="8"/>
  <c r="J105" i="8"/>
  <c r="G104" i="8"/>
  <c r="H104" i="8" s="1"/>
  <c r="L104" i="8"/>
  <c r="F106" i="8" l="1"/>
  <c r="E106" i="8"/>
  <c r="D106" i="8"/>
  <c r="K106" i="8"/>
  <c r="J106" i="8"/>
  <c r="I106" i="8"/>
  <c r="C106" i="8"/>
  <c r="A107" i="8"/>
  <c r="M106" i="8"/>
  <c r="B106" i="8"/>
  <c r="E107" i="5"/>
  <c r="H107" i="5" s="1"/>
  <c r="C107" i="5"/>
  <c r="G107" i="5" s="1"/>
  <c r="I107" i="5" s="1"/>
  <c r="B108" i="5" s="1"/>
  <c r="A108" i="5"/>
  <c r="G105" i="8"/>
  <c r="H105" i="8" s="1"/>
  <c r="L105" i="8"/>
  <c r="G106" i="8" l="1"/>
  <c r="H106" i="8" s="1"/>
  <c r="L106" i="8"/>
  <c r="F107" i="8"/>
  <c r="E107" i="8"/>
  <c r="D107" i="8"/>
  <c r="C107" i="8"/>
  <c r="A108" i="8"/>
  <c r="M107" i="8"/>
  <c r="K107" i="8"/>
  <c r="J107" i="8"/>
  <c r="B107" i="8"/>
  <c r="I107" i="8"/>
  <c r="C108" i="5"/>
  <c r="G108" i="5" s="1"/>
  <c r="I108" i="5" s="1"/>
  <c r="B109" i="5" s="1"/>
  <c r="A109" i="5"/>
  <c r="E108" i="5"/>
  <c r="H108" i="5" s="1"/>
  <c r="E108" i="8" l="1"/>
  <c r="D108" i="8"/>
  <c r="C108" i="8"/>
  <c r="A109" i="8"/>
  <c r="B108" i="8"/>
  <c r="F108" i="8"/>
  <c r="M108" i="8"/>
  <c r="J108" i="8"/>
  <c r="I108" i="8"/>
  <c r="K108" i="8"/>
  <c r="A110" i="5"/>
  <c r="E109" i="5"/>
  <c r="H109" i="5" s="1"/>
  <c r="C109" i="5"/>
  <c r="G109" i="5" s="1"/>
  <c r="I109" i="5" s="1"/>
  <c r="B110" i="5" s="1"/>
  <c r="L107" i="8"/>
  <c r="G107" i="8"/>
  <c r="H107" i="8" s="1"/>
  <c r="E110" i="5" l="1"/>
  <c r="H110" i="5" s="1"/>
  <c r="A111" i="5"/>
  <c r="C110" i="5"/>
  <c r="G110" i="5" s="1"/>
  <c r="I110" i="5" s="1"/>
  <c r="B111" i="5" s="1"/>
  <c r="D109" i="8"/>
  <c r="C109" i="8"/>
  <c r="A110" i="8"/>
  <c r="B109" i="8"/>
  <c r="M109" i="8"/>
  <c r="I109" i="8"/>
  <c r="F109" i="8"/>
  <c r="E109" i="8"/>
  <c r="K109" i="8"/>
  <c r="J109" i="8"/>
  <c r="L108" i="8"/>
  <c r="G108" i="8"/>
  <c r="H108" i="8" s="1"/>
  <c r="C110" i="8" l="1"/>
  <c r="A111" i="8"/>
  <c r="B110" i="8"/>
  <c r="M110" i="8"/>
  <c r="K110" i="8"/>
  <c r="J110" i="8"/>
  <c r="I110" i="8"/>
  <c r="E110" i="8"/>
  <c r="D110" i="8"/>
  <c r="F110" i="8"/>
  <c r="A112" i="5"/>
  <c r="C111" i="5"/>
  <c r="G111" i="5" s="1"/>
  <c r="I111" i="5" s="1"/>
  <c r="B112" i="5" s="1"/>
  <c r="E111" i="5"/>
  <c r="H111" i="5" s="1"/>
  <c r="G109" i="8"/>
  <c r="H109" i="8" s="1"/>
  <c r="L109" i="8"/>
  <c r="A113" i="5" l="1"/>
  <c r="E112" i="5"/>
  <c r="H112" i="5" s="1"/>
  <c r="C112" i="5"/>
  <c r="G112" i="5" s="1"/>
  <c r="I112" i="5" s="1"/>
  <c r="B113" i="5" s="1"/>
  <c r="A112" i="8"/>
  <c r="B111" i="8"/>
  <c r="M111" i="8"/>
  <c r="K111" i="8"/>
  <c r="J111" i="8"/>
  <c r="I111" i="8"/>
  <c r="C111" i="8"/>
  <c r="F111" i="8"/>
  <c r="E111" i="8"/>
  <c r="D111" i="8"/>
  <c r="L110" i="8"/>
  <c r="G110" i="8"/>
  <c r="H110" i="8" s="1"/>
  <c r="M112" i="8" l="1"/>
  <c r="K112" i="8"/>
  <c r="J112" i="8"/>
  <c r="I112" i="8"/>
  <c r="A113" i="8"/>
  <c r="F112" i="8"/>
  <c r="E112" i="8"/>
  <c r="D112" i="8"/>
  <c r="C112" i="8"/>
  <c r="B112" i="8"/>
  <c r="E113" i="5"/>
  <c r="H113" i="5" s="1"/>
  <c r="A114" i="5"/>
  <c r="C113" i="5"/>
  <c r="G113" i="5" s="1"/>
  <c r="I113" i="5" s="1"/>
  <c r="B114" i="5" s="1"/>
  <c r="L111" i="8"/>
  <c r="G111" i="8"/>
  <c r="H111" i="8" s="1"/>
  <c r="L112" i="8" l="1"/>
  <c r="G112" i="8"/>
  <c r="H112" i="8" s="1"/>
  <c r="K113" i="8"/>
  <c r="J113" i="8"/>
  <c r="I113" i="8"/>
  <c r="A114" i="8"/>
  <c r="F113" i="8"/>
  <c r="E113" i="8"/>
  <c r="D113" i="8"/>
  <c r="B113" i="8"/>
  <c r="M113" i="8"/>
  <c r="C113" i="8"/>
  <c r="A115" i="5"/>
  <c r="E114" i="5"/>
  <c r="H114" i="5" s="1"/>
  <c r="C114" i="5"/>
  <c r="G114" i="5" s="1"/>
  <c r="I114" i="5" s="1"/>
  <c r="B115" i="5" s="1"/>
  <c r="L113" i="8" l="1"/>
  <c r="G113" i="8"/>
  <c r="H113" i="8" s="1"/>
  <c r="K114" i="8"/>
  <c r="J114" i="8"/>
  <c r="I114" i="8"/>
  <c r="F114" i="8"/>
  <c r="A115" i="8"/>
  <c r="E114" i="8"/>
  <c r="D114" i="8"/>
  <c r="C114" i="8"/>
  <c r="B114" i="8"/>
  <c r="M114" i="8"/>
  <c r="A116" i="5"/>
  <c r="E115" i="5"/>
  <c r="H115" i="5" s="1"/>
  <c r="C115" i="5"/>
  <c r="G115" i="5" s="1"/>
  <c r="I115" i="5" s="1"/>
  <c r="B116" i="5" s="1"/>
  <c r="G114" i="8" l="1"/>
  <c r="H114" i="8" s="1"/>
  <c r="L114" i="8"/>
  <c r="J115" i="8"/>
  <c r="I115" i="8"/>
  <c r="F115" i="8"/>
  <c r="E115" i="8"/>
  <c r="A116" i="8"/>
  <c r="B115" i="8"/>
  <c r="M115" i="8"/>
  <c r="K115" i="8"/>
  <c r="D115" i="8"/>
  <c r="C115" i="8"/>
  <c r="E116" i="5"/>
  <c r="H116" i="5" s="1"/>
  <c r="A117" i="5"/>
  <c r="C116" i="5"/>
  <c r="G116" i="5" s="1"/>
  <c r="I116" i="5" s="1"/>
  <c r="B117" i="5" s="1"/>
  <c r="C117" i="5" l="1"/>
  <c r="G117" i="5" s="1"/>
  <c r="I117" i="5" s="1"/>
  <c r="B118" i="5" s="1"/>
  <c r="A118" i="5"/>
  <c r="E117" i="5"/>
  <c r="H117" i="5" s="1"/>
  <c r="G115" i="8"/>
  <c r="H115" i="8" s="1"/>
  <c r="L115" i="8"/>
  <c r="I116" i="8"/>
  <c r="F116" i="8"/>
  <c r="E116" i="8"/>
  <c r="D116" i="8"/>
  <c r="M116" i="8"/>
  <c r="J116" i="8"/>
  <c r="A117" i="8"/>
  <c r="K116" i="8"/>
  <c r="C116" i="8"/>
  <c r="B116" i="8"/>
  <c r="G116" i="8" l="1"/>
  <c r="H116" i="8" s="1"/>
  <c r="L116" i="8"/>
  <c r="C118" i="5"/>
  <c r="G118" i="5" s="1"/>
  <c r="I118" i="5" s="1"/>
  <c r="B119" i="5" s="1"/>
  <c r="A119" i="5"/>
  <c r="E118" i="5"/>
  <c r="H118" i="5" s="1"/>
  <c r="F117" i="8"/>
  <c r="E117" i="8"/>
  <c r="D117" i="8"/>
  <c r="C117" i="8"/>
  <c r="K117" i="8"/>
  <c r="I117" i="8"/>
  <c r="M117" i="8"/>
  <c r="J117" i="8"/>
  <c r="B117" i="8"/>
  <c r="A118" i="8"/>
  <c r="G117" i="8" l="1"/>
  <c r="H117" i="8" s="1"/>
  <c r="L117" i="8"/>
  <c r="E119" i="5"/>
  <c r="H119" i="5" s="1"/>
  <c r="A120" i="5"/>
  <c r="C119" i="5"/>
  <c r="G119" i="5" s="1"/>
  <c r="I119" i="5" s="1"/>
  <c r="B120" i="5" s="1"/>
  <c r="F118" i="8"/>
  <c r="E118" i="8"/>
  <c r="D118" i="8"/>
  <c r="C118" i="8"/>
  <c r="A119" i="8"/>
  <c r="B118" i="8"/>
  <c r="K118" i="8"/>
  <c r="J118" i="8"/>
  <c r="M118" i="8"/>
  <c r="I118" i="8"/>
  <c r="G118" i="8" l="1"/>
  <c r="H118" i="8" s="1"/>
  <c r="L118" i="8"/>
  <c r="E120" i="5"/>
  <c r="H120" i="5" s="1"/>
  <c r="C120" i="5"/>
  <c r="G120" i="5" s="1"/>
  <c r="I120" i="5" s="1"/>
  <c r="B121" i="5" s="1"/>
  <c r="A121" i="5"/>
  <c r="F119" i="8"/>
  <c r="E119" i="8"/>
  <c r="D119" i="8"/>
  <c r="C119" i="8"/>
  <c r="A120" i="8"/>
  <c r="B119" i="8"/>
  <c r="M119" i="8"/>
  <c r="J119" i="8"/>
  <c r="I119" i="8"/>
  <c r="K119" i="8"/>
  <c r="E120" i="8" l="1"/>
  <c r="D120" i="8"/>
  <c r="C120" i="8"/>
  <c r="A121" i="8"/>
  <c r="B120" i="8"/>
  <c r="M120" i="8"/>
  <c r="I120" i="8"/>
  <c r="F120" i="8"/>
  <c r="K120" i="8"/>
  <c r="J120" i="8"/>
  <c r="A122" i="5"/>
  <c r="E121" i="5"/>
  <c r="H121" i="5" s="1"/>
  <c r="C121" i="5"/>
  <c r="G121" i="5" s="1"/>
  <c r="I121" i="5" s="1"/>
  <c r="B122" i="5" s="1"/>
  <c r="G119" i="8"/>
  <c r="H119" i="8" s="1"/>
  <c r="L119" i="8"/>
  <c r="D121" i="8" l="1"/>
  <c r="C121" i="8"/>
  <c r="A122" i="8"/>
  <c r="B121" i="8"/>
  <c r="M121" i="8"/>
  <c r="K121" i="8"/>
  <c r="E121" i="8"/>
  <c r="I121" i="8"/>
  <c r="F121" i="8"/>
  <c r="J121" i="8"/>
  <c r="E122" i="5"/>
  <c r="H122" i="5" s="1"/>
  <c r="C122" i="5"/>
  <c r="G122" i="5" s="1"/>
  <c r="I122" i="5" s="1"/>
  <c r="B123" i="5" s="1"/>
  <c r="A123" i="5"/>
  <c r="L120" i="8"/>
  <c r="G120" i="8"/>
  <c r="H120" i="8" s="1"/>
  <c r="C122" i="8" l="1"/>
  <c r="A123" i="8"/>
  <c r="B122" i="8"/>
  <c r="M122" i="8"/>
  <c r="K122" i="8"/>
  <c r="J122" i="8"/>
  <c r="F122" i="8"/>
  <c r="D122" i="8"/>
  <c r="I122" i="8"/>
  <c r="E122" i="8"/>
  <c r="E123" i="5"/>
  <c r="H123" i="5" s="1"/>
  <c r="C123" i="5"/>
  <c r="G123" i="5" s="1"/>
  <c r="I123" i="5" s="1"/>
  <c r="B124" i="5" s="1"/>
  <c r="A124" i="5"/>
  <c r="L121" i="8"/>
  <c r="G121" i="8"/>
  <c r="H121" i="8" s="1"/>
  <c r="A124" i="8" l="1"/>
  <c r="B123" i="8"/>
  <c r="M123" i="8"/>
  <c r="K123" i="8"/>
  <c r="J123" i="8"/>
  <c r="I123" i="8"/>
  <c r="F123" i="8"/>
  <c r="E123" i="8"/>
  <c r="C123" i="8"/>
  <c r="D123" i="8"/>
  <c r="L122" i="8"/>
  <c r="G122" i="8"/>
  <c r="H122" i="8" s="1"/>
  <c r="E124" i="5"/>
  <c r="H124" i="5" s="1"/>
  <c r="C124" i="5"/>
  <c r="G124" i="5" s="1"/>
  <c r="I124" i="5" s="1"/>
  <c r="B125" i="5" s="1"/>
  <c r="A125" i="5"/>
  <c r="L123" i="8" l="1"/>
  <c r="G123" i="8"/>
  <c r="H123" i="8" s="1"/>
  <c r="E125" i="5"/>
  <c r="H125" i="5" s="1"/>
  <c r="C125" i="5"/>
  <c r="G125" i="5" s="1"/>
  <c r="I125" i="5" s="1"/>
  <c r="B126" i="5" s="1"/>
  <c r="A126" i="5"/>
  <c r="M124" i="8"/>
  <c r="K124" i="8"/>
  <c r="J124" i="8"/>
  <c r="I124" i="8"/>
  <c r="E124" i="8"/>
  <c r="D124" i="8"/>
  <c r="A125" i="8"/>
  <c r="B124" i="8"/>
  <c r="F124" i="8"/>
  <c r="C124" i="8"/>
  <c r="E126" i="5" l="1"/>
  <c r="H126" i="5" s="1"/>
  <c r="C126" i="5"/>
  <c r="G126" i="5" s="1"/>
  <c r="I126" i="5" s="1"/>
  <c r="B127" i="5" s="1"/>
  <c r="A127" i="5"/>
  <c r="L124" i="8"/>
  <c r="G124" i="8"/>
  <c r="H124" i="8" s="1"/>
  <c r="K125" i="8"/>
  <c r="J125" i="8"/>
  <c r="I125" i="8"/>
  <c r="D125" i="8"/>
  <c r="C125" i="8"/>
  <c r="M125" i="8"/>
  <c r="E125" i="8"/>
  <c r="B125" i="8"/>
  <c r="F125" i="8"/>
  <c r="A126" i="8"/>
  <c r="A127" i="8" l="1"/>
  <c r="K126" i="8"/>
  <c r="M126" i="8"/>
  <c r="J126" i="8"/>
  <c r="I126" i="8"/>
  <c r="F126" i="8"/>
  <c r="C126" i="8"/>
  <c r="B126" i="8"/>
  <c r="E126" i="8"/>
  <c r="D126" i="8"/>
  <c r="C127" i="5"/>
  <c r="G127" i="5" s="1"/>
  <c r="I127" i="5" s="1"/>
  <c r="B128" i="5" s="1"/>
  <c r="A128" i="5"/>
  <c r="E127" i="5"/>
  <c r="H127" i="5" s="1"/>
  <c r="L125" i="8"/>
  <c r="G125" i="8"/>
  <c r="H125" i="8" s="1"/>
  <c r="L126" i="8" l="1"/>
  <c r="G126" i="8"/>
  <c r="H126" i="8" s="1"/>
  <c r="F127" i="8"/>
  <c r="E127" i="8"/>
  <c r="D127" i="8"/>
  <c r="A128" i="8"/>
  <c r="B127" i="8"/>
  <c r="M127" i="8"/>
  <c r="J127" i="8"/>
  <c r="K127" i="8"/>
  <c r="I127" i="8"/>
  <c r="C127" i="8"/>
  <c r="E128" i="5"/>
  <c r="H128" i="5" s="1"/>
  <c r="C128" i="5"/>
  <c r="G128" i="5" s="1"/>
  <c r="I128" i="5" s="1"/>
  <c r="B129" i="5" s="1"/>
  <c r="A129" i="5"/>
  <c r="G127" i="8" l="1"/>
  <c r="H127" i="8" s="1"/>
  <c r="L127" i="8"/>
  <c r="E128" i="8"/>
  <c r="D128" i="8"/>
  <c r="C128" i="8"/>
  <c r="M128" i="8"/>
  <c r="I128" i="8"/>
  <c r="F128" i="8"/>
  <c r="A129" i="8"/>
  <c r="K128" i="8"/>
  <c r="J128" i="8"/>
  <c r="B128" i="8"/>
  <c r="A130" i="5"/>
  <c r="E129" i="5"/>
  <c r="H129" i="5" s="1"/>
  <c r="C129" i="5"/>
  <c r="G129" i="5" s="1"/>
  <c r="I129" i="5" s="1"/>
  <c r="B130" i="5" s="1"/>
  <c r="L128" i="8" l="1"/>
  <c r="G128" i="8"/>
  <c r="H128" i="8" s="1"/>
  <c r="D129" i="8"/>
  <c r="C129" i="8"/>
  <c r="A130" i="8"/>
  <c r="B129" i="8"/>
  <c r="K129" i="8"/>
  <c r="E129" i="8"/>
  <c r="F129" i="8"/>
  <c r="M129" i="8"/>
  <c r="J129" i="8"/>
  <c r="I129" i="8"/>
  <c r="C130" i="5"/>
  <c r="G130" i="5" s="1"/>
  <c r="I130" i="5" s="1"/>
  <c r="B131" i="5" s="1"/>
  <c r="A131" i="5"/>
  <c r="E130" i="5"/>
  <c r="H130" i="5" s="1"/>
  <c r="C130" i="8" l="1"/>
  <c r="A131" i="8"/>
  <c r="B130" i="8"/>
  <c r="M130" i="8"/>
  <c r="K130" i="8"/>
  <c r="J130" i="8"/>
  <c r="D130" i="8"/>
  <c r="I130" i="8"/>
  <c r="F130" i="8"/>
  <c r="E130" i="8"/>
  <c r="L129" i="8"/>
  <c r="G129" i="8"/>
  <c r="H129" i="8" s="1"/>
  <c r="E131" i="5"/>
  <c r="H131" i="5" s="1"/>
  <c r="A132" i="5"/>
  <c r="C131" i="5"/>
  <c r="G131" i="5" s="1"/>
  <c r="I131" i="5" s="1"/>
  <c r="B132" i="5" s="1"/>
  <c r="A133" i="5" l="1"/>
  <c r="E132" i="5"/>
  <c r="H132" i="5" s="1"/>
  <c r="C132" i="5"/>
  <c r="G132" i="5" s="1"/>
  <c r="I132" i="5" s="1"/>
  <c r="B133" i="5" s="1"/>
  <c r="A132" i="8"/>
  <c r="B131" i="8"/>
  <c r="M131" i="8"/>
  <c r="J131" i="8"/>
  <c r="I131" i="8"/>
  <c r="F131" i="8"/>
  <c r="C131" i="8"/>
  <c r="E131" i="8"/>
  <c r="D131" i="8"/>
  <c r="K131" i="8"/>
  <c r="G130" i="8"/>
  <c r="H130" i="8" s="1"/>
  <c r="L130" i="8"/>
  <c r="M132" i="8" l="1"/>
  <c r="K132" i="8"/>
  <c r="I132" i="8"/>
  <c r="E132" i="8"/>
  <c r="A133" i="8"/>
  <c r="B132" i="8"/>
  <c r="J132" i="8"/>
  <c r="D132" i="8"/>
  <c r="C132" i="8"/>
  <c r="F132" i="8"/>
  <c r="E133" i="5"/>
  <c r="H133" i="5" s="1"/>
  <c r="A134" i="5"/>
  <c r="C133" i="5"/>
  <c r="G133" i="5" s="1"/>
  <c r="I133" i="5" s="1"/>
  <c r="B134" i="5" s="1"/>
  <c r="L131" i="8"/>
  <c r="G131" i="8"/>
  <c r="H131" i="8" s="1"/>
  <c r="L132" i="8" l="1"/>
  <c r="G132" i="8"/>
  <c r="H132" i="8" s="1"/>
  <c r="K133" i="8"/>
  <c r="J133" i="8"/>
  <c r="D133" i="8"/>
  <c r="M133" i="8"/>
  <c r="I133" i="8"/>
  <c r="F133" i="8"/>
  <c r="E133" i="8"/>
  <c r="C133" i="8"/>
  <c r="B133" i="8"/>
  <c r="A134" i="8"/>
  <c r="E134" i="5"/>
  <c r="H134" i="5" s="1"/>
  <c r="C134" i="5"/>
  <c r="G134" i="5" s="1"/>
  <c r="I134" i="5" s="1"/>
  <c r="B135" i="5" s="1"/>
  <c r="A135" i="5"/>
  <c r="C135" i="5" l="1"/>
  <c r="G135" i="5" s="1"/>
  <c r="I135" i="5" s="1"/>
  <c r="B136" i="5" s="1"/>
  <c r="A136" i="5"/>
  <c r="E135" i="5"/>
  <c r="H135" i="5" s="1"/>
  <c r="L133" i="8"/>
  <c r="G133" i="8"/>
  <c r="H133" i="8" s="1"/>
  <c r="K134" i="8"/>
  <c r="J134" i="8"/>
  <c r="I134" i="8"/>
  <c r="F134" i="8"/>
  <c r="C134" i="8"/>
  <c r="A135" i="8"/>
  <c r="E134" i="8"/>
  <c r="D134" i="8"/>
  <c r="M134" i="8"/>
  <c r="B134" i="8"/>
  <c r="J135" i="8" l="1"/>
  <c r="I135" i="8"/>
  <c r="F135" i="8"/>
  <c r="E135" i="8"/>
  <c r="A136" i="8"/>
  <c r="B135" i="8"/>
  <c r="K135" i="8"/>
  <c r="M135" i="8"/>
  <c r="D135" i="8"/>
  <c r="C135" i="8"/>
  <c r="A137" i="5"/>
  <c r="E136" i="5"/>
  <c r="H136" i="5" s="1"/>
  <c r="C136" i="5"/>
  <c r="G136" i="5" s="1"/>
  <c r="I136" i="5" s="1"/>
  <c r="B137" i="5" s="1"/>
  <c r="G134" i="8"/>
  <c r="H134" i="8" s="1"/>
  <c r="L134" i="8"/>
  <c r="E137" i="5" l="1"/>
  <c r="H137" i="5" s="1"/>
  <c r="A138" i="5"/>
  <c r="C137" i="5"/>
  <c r="G137" i="5" s="1"/>
  <c r="I137" i="5" s="1"/>
  <c r="B138" i="5" s="1"/>
  <c r="L135" i="8"/>
  <c r="G135" i="8"/>
  <c r="H135" i="8" s="1"/>
  <c r="I136" i="8"/>
  <c r="E136" i="8"/>
  <c r="D136" i="8"/>
  <c r="M136" i="8"/>
  <c r="J136" i="8"/>
  <c r="K136" i="8"/>
  <c r="F136" i="8"/>
  <c r="B136" i="8"/>
  <c r="A137" i="8"/>
  <c r="C136" i="8"/>
  <c r="G136" i="8" l="1"/>
  <c r="H136" i="8" s="1"/>
  <c r="L136" i="8"/>
  <c r="F137" i="8"/>
  <c r="D137" i="8"/>
  <c r="C137" i="8"/>
  <c r="I137" i="8"/>
  <c r="A138" i="8"/>
  <c r="M137" i="8"/>
  <c r="K137" i="8"/>
  <c r="J137" i="8"/>
  <c r="E137" i="8"/>
  <c r="B137" i="8"/>
  <c r="A139" i="5"/>
  <c r="E138" i="5"/>
  <c r="H138" i="5" s="1"/>
  <c r="C138" i="5"/>
  <c r="G138" i="5" s="1"/>
  <c r="I138" i="5" s="1"/>
  <c r="B139" i="5" s="1"/>
  <c r="F138" i="8" l="1"/>
  <c r="E138" i="8"/>
  <c r="C138" i="8"/>
  <c r="A139" i="8"/>
  <c r="B138" i="8"/>
  <c r="K138" i="8"/>
  <c r="J138" i="8"/>
  <c r="D138" i="8"/>
  <c r="M138" i="8"/>
  <c r="I138" i="8"/>
  <c r="E139" i="5"/>
  <c r="H139" i="5" s="1"/>
  <c r="C139" i="5"/>
  <c r="G139" i="5" s="1"/>
  <c r="I139" i="5" s="1"/>
  <c r="B140" i="5" s="1"/>
  <c r="A140" i="5"/>
  <c r="G137" i="8"/>
  <c r="H137" i="8" s="1"/>
  <c r="L137" i="8"/>
  <c r="G138" i="8" l="1"/>
  <c r="H138" i="8" s="1"/>
  <c r="L138" i="8"/>
  <c r="F139" i="8"/>
  <c r="E139" i="8"/>
  <c r="D139" i="8"/>
  <c r="A140" i="8"/>
  <c r="B139" i="8"/>
  <c r="M139" i="8"/>
  <c r="J139" i="8"/>
  <c r="K139" i="8"/>
  <c r="I139" i="8"/>
  <c r="C139" i="8"/>
  <c r="E140" i="5"/>
  <c r="H140" i="5" s="1"/>
  <c r="A141" i="5"/>
  <c r="C140" i="5"/>
  <c r="G140" i="5" s="1"/>
  <c r="I140" i="5" s="1"/>
  <c r="B141" i="5" s="1"/>
  <c r="E141" i="5" l="1"/>
  <c r="H141" i="5" s="1"/>
  <c r="C141" i="5"/>
  <c r="G141" i="5" s="1"/>
  <c r="I141" i="5" s="1"/>
  <c r="B142" i="5" s="1"/>
  <c r="A142" i="5"/>
  <c r="E140" i="8"/>
  <c r="D140" i="8"/>
  <c r="C140" i="8"/>
  <c r="M140" i="8"/>
  <c r="I140" i="8"/>
  <c r="F140" i="8"/>
  <c r="B140" i="8"/>
  <c r="A141" i="8"/>
  <c r="K140" i="8"/>
  <c r="J140" i="8"/>
  <c r="G139" i="8"/>
  <c r="H139" i="8" s="1"/>
  <c r="L139" i="8"/>
  <c r="D141" i="8" l="1"/>
  <c r="C141" i="8"/>
  <c r="A142" i="8"/>
  <c r="B141" i="8"/>
  <c r="K141" i="8"/>
  <c r="E141" i="8"/>
  <c r="M141" i="8"/>
  <c r="J141" i="8"/>
  <c r="I141" i="8"/>
  <c r="F141" i="8"/>
  <c r="L140" i="8"/>
  <c r="G140" i="8"/>
  <c r="H140" i="8" s="1"/>
  <c r="E142" i="5"/>
  <c r="H142" i="5" s="1"/>
  <c r="A143" i="5"/>
  <c r="C142" i="5"/>
  <c r="G142" i="5" s="1"/>
  <c r="I142" i="5" s="1"/>
  <c r="B143" i="5" s="1"/>
  <c r="C142" i="8" l="1"/>
  <c r="A143" i="8"/>
  <c r="B142" i="8"/>
  <c r="M142" i="8"/>
  <c r="K142" i="8"/>
  <c r="J142" i="8"/>
  <c r="D142" i="8"/>
  <c r="F142" i="8"/>
  <c r="E142" i="8"/>
  <c r="I142" i="8"/>
  <c r="E143" i="5"/>
  <c r="H143" i="5" s="1"/>
  <c r="C143" i="5"/>
  <c r="G143" i="5" s="1"/>
  <c r="I143" i="5" s="1"/>
  <c r="B144" i="5" s="1"/>
  <c r="A144" i="5"/>
  <c r="L141" i="8"/>
  <c r="G141" i="8"/>
  <c r="H141" i="8" s="1"/>
  <c r="A144" i="8" l="1"/>
  <c r="B143" i="8"/>
  <c r="M143" i="8"/>
  <c r="J143" i="8"/>
  <c r="I143" i="8"/>
  <c r="F143" i="8"/>
  <c r="C143" i="8"/>
  <c r="K143" i="8"/>
  <c r="E143" i="8"/>
  <c r="D143" i="8"/>
  <c r="G142" i="8"/>
  <c r="H142" i="8" s="1"/>
  <c r="L142" i="8"/>
  <c r="C144" i="5"/>
  <c r="G144" i="5" s="1"/>
  <c r="I144" i="5" s="1"/>
  <c r="B145" i="5" s="1"/>
  <c r="A145" i="5"/>
  <c r="E144" i="5"/>
  <c r="H144" i="5" s="1"/>
  <c r="L143" i="8" l="1"/>
  <c r="G143" i="8"/>
  <c r="H143" i="8" s="1"/>
  <c r="A146" i="5"/>
  <c r="E145" i="5"/>
  <c r="H145" i="5" s="1"/>
  <c r="C145" i="5"/>
  <c r="G145" i="5" s="1"/>
  <c r="I145" i="5" s="1"/>
  <c r="B146" i="5" s="1"/>
  <c r="M144" i="8"/>
  <c r="K144" i="8"/>
  <c r="I144" i="8"/>
  <c r="E144" i="8"/>
  <c r="A145" i="8"/>
  <c r="B144" i="8"/>
  <c r="J144" i="8"/>
  <c r="F144" i="8"/>
  <c r="D144" i="8"/>
  <c r="C144" i="8"/>
  <c r="K145" i="8" l="1"/>
  <c r="J145" i="8"/>
  <c r="D145" i="8"/>
  <c r="M145" i="8"/>
  <c r="F145" i="8"/>
  <c r="E145" i="8"/>
  <c r="B145" i="8"/>
  <c r="A146" i="8"/>
  <c r="C145" i="8"/>
  <c r="I145" i="8"/>
  <c r="E146" i="5"/>
  <c r="H146" i="5" s="1"/>
  <c r="A147" i="5"/>
  <c r="C146" i="5"/>
  <c r="G146" i="5" s="1"/>
  <c r="I146" i="5" s="1"/>
  <c r="B147" i="5" s="1"/>
  <c r="L144" i="8"/>
  <c r="G144" i="8"/>
  <c r="H144" i="8" s="1"/>
  <c r="K146" i="8" l="1"/>
  <c r="J146" i="8"/>
  <c r="I146" i="8"/>
  <c r="F146" i="8"/>
  <c r="C146" i="8"/>
  <c r="A147" i="8"/>
  <c r="M146" i="8"/>
  <c r="E146" i="8"/>
  <c r="D146" i="8"/>
  <c r="B146" i="8"/>
  <c r="L145" i="8"/>
  <c r="G145" i="8"/>
  <c r="H145" i="8" s="1"/>
  <c r="A148" i="5"/>
  <c r="C147" i="5"/>
  <c r="G147" i="5" s="1"/>
  <c r="I147" i="5" s="1"/>
  <c r="B148" i="5" s="1"/>
  <c r="E147" i="5"/>
  <c r="H147" i="5" s="1"/>
  <c r="G146" i="8" l="1"/>
  <c r="H146" i="8" s="1"/>
  <c r="L146" i="8"/>
  <c r="J147" i="8"/>
  <c r="I147" i="8"/>
  <c r="F147" i="8"/>
  <c r="E147" i="8"/>
  <c r="A148" i="8"/>
  <c r="B147" i="8"/>
  <c r="K147" i="8"/>
  <c r="C147" i="8"/>
  <c r="M147" i="8"/>
  <c r="D147" i="8"/>
  <c r="A149" i="5"/>
  <c r="E148" i="5"/>
  <c r="H148" i="5" s="1"/>
  <c r="C148" i="5"/>
  <c r="G148" i="5" s="1"/>
  <c r="I148" i="5" s="1"/>
  <c r="B149" i="5" s="1"/>
  <c r="I148" i="8" l="1"/>
  <c r="E148" i="8"/>
  <c r="D148" i="8"/>
  <c r="M148" i="8"/>
  <c r="J148" i="8"/>
  <c r="A149" i="8"/>
  <c r="K148" i="8"/>
  <c r="F148" i="8"/>
  <c r="C148" i="8"/>
  <c r="B148" i="8"/>
  <c r="E149" i="5"/>
  <c r="H149" i="5" s="1"/>
  <c r="A150" i="5"/>
  <c r="C149" i="5"/>
  <c r="G149" i="5" s="1"/>
  <c r="I149" i="5" s="1"/>
  <c r="B150" i="5" s="1"/>
  <c r="L147" i="8"/>
  <c r="G147" i="8"/>
  <c r="H147" i="8" s="1"/>
  <c r="F149" i="8" l="1"/>
  <c r="D149" i="8"/>
  <c r="C149" i="8"/>
  <c r="I149" i="8"/>
  <c r="B149" i="8"/>
  <c r="M149" i="8"/>
  <c r="K149" i="8"/>
  <c r="E149" i="8"/>
  <c r="A150" i="8"/>
  <c r="J149" i="8"/>
  <c r="G148" i="8"/>
  <c r="H148" i="8" s="1"/>
  <c r="L148" i="8"/>
  <c r="A151" i="5"/>
  <c r="E150" i="5"/>
  <c r="H150" i="5" s="1"/>
  <c r="C150" i="5"/>
  <c r="G150" i="5" s="1"/>
  <c r="I150" i="5" s="1"/>
  <c r="B151" i="5" s="1"/>
  <c r="F150" i="8" l="1"/>
  <c r="E150" i="8"/>
  <c r="C150" i="8"/>
  <c r="A151" i="8"/>
  <c r="B150" i="8"/>
  <c r="K150" i="8"/>
  <c r="M150" i="8"/>
  <c r="J150" i="8"/>
  <c r="I150" i="8"/>
  <c r="D150" i="8"/>
  <c r="A152" i="5"/>
  <c r="E151" i="5"/>
  <c r="H151" i="5" s="1"/>
  <c r="C151" i="5"/>
  <c r="G151" i="5" s="1"/>
  <c r="I151" i="5" s="1"/>
  <c r="B152" i="5" s="1"/>
  <c r="G149" i="8"/>
  <c r="H149" i="8" s="1"/>
  <c r="L149" i="8"/>
  <c r="G150" i="8" l="1"/>
  <c r="H150" i="8" s="1"/>
  <c r="L150" i="8"/>
  <c r="F151" i="8"/>
  <c r="E151" i="8"/>
  <c r="D151" i="8"/>
  <c r="A152" i="8"/>
  <c r="B151" i="8"/>
  <c r="M151" i="8"/>
  <c r="J151" i="8"/>
  <c r="C151" i="8"/>
  <c r="I151" i="8"/>
  <c r="K151" i="8"/>
  <c r="E152" i="5"/>
  <c r="H152" i="5" s="1"/>
  <c r="A153" i="5"/>
  <c r="C152" i="5"/>
  <c r="G152" i="5" s="1"/>
  <c r="I152" i="5" s="1"/>
  <c r="B153" i="5" s="1"/>
  <c r="E152" i="8" l="1"/>
  <c r="D152" i="8"/>
  <c r="C152" i="8"/>
  <c r="M152" i="8"/>
  <c r="I152" i="8"/>
  <c r="F152" i="8"/>
  <c r="A153" i="8"/>
  <c r="K152" i="8"/>
  <c r="J152" i="8"/>
  <c r="B152" i="8"/>
  <c r="G151" i="8"/>
  <c r="H151" i="8" s="1"/>
  <c r="L151" i="8"/>
  <c r="A154" i="5"/>
  <c r="E153" i="5"/>
  <c r="H153" i="5" s="1"/>
  <c r="C153" i="5"/>
  <c r="G153" i="5" s="1"/>
  <c r="I153" i="5" s="1"/>
  <c r="B154" i="5" s="1"/>
  <c r="D153" i="8" l="1"/>
  <c r="C153" i="8"/>
  <c r="A154" i="8"/>
  <c r="B153" i="8"/>
  <c r="K153" i="8"/>
  <c r="E153" i="8"/>
  <c r="I153" i="8"/>
  <c r="F153" i="8"/>
  <c r="J153" i="8"/>
  <c r="M153" i="8"/>
  <c r="L152" i="8"/>
  <c r="G152" i="8"/>
  <c r="H152" i="8" s="1"/>
  <c r="C154" i="5"/>
  <c r="G154" i="5" s="1"/>
  <c r="I154" i="5" s="1"/>
  <c r="B155" i="5" s="1"/>
  <c r="A155" i="5"/>
  <c r="E154" i="5"/>
  <c r="H154" i="5" s="1"/>
  <c r="C154" i="8" l="1"/>
  <c r="A155" i="8"/>
  <c r="B154" i="8"/>
  <c r="M154" i="8"/>
  <c r="K154" i="8"/>
  <c r="J154" i="8"/>
  <c r="D154" i="8"/>
  <c r="F154" i="8"/>
  <c r="E154" i="8"/>
  <c r="I154" i="8"/>
  <c r="E155" i="5"/>
  <c r="H155" i="5" s="1"/>
  <c r="C155" i="5"/>
  <c r="G155" i="5" s="1"/>
  <c r="I155" i="5" s="1"/>
  <c r="B156" i="5" s="1"/>
  <c r="A156" i="5"/>
  <c r="L153" i="8"/>
  <c r="G153" i="8"/>
  <c r="H153" i="8" s="1"/>
  <c r="G154" i="8" l="1"/>
  <c r="H154" i="8" s="1"/>
  <c r="L154" i="8"/>
  <c r="A156" i="8"/>
  <c r="B155" i="8"/>
  <c r="M155" i="8"/>
  <c r="J155" i="8"/>
  <c r="I155" i="8"/>
  <c r="F155" i="8"/>
  <c r="C155" i="8"/>
  <c r="K155" i="8"/>
  <c r="E155" i="8"/>
  <c r="D155" i="8"/>
  <c r="E156" i="5"/>
  <c r="H156" i="5" s="1"/>
  <c r="A157" i="5"/>
  <c r="C156" i="5"/>
  <c r="G156" i="5" s="1"/>
  <c r="I156" i="5" s="1"/>
  <c r="B157" i="5" s="1"/>
  <c r="M156" i="8" l="1"/>
  <c r="K156" i="8"/>
  <c r="I156" i="8"/>
  <c r="E156" i="8"/>
  <c r="A157" i="8"/>
  <c r="B156" i="8"/>
  <c r="F156" i="8"/>
  <c r="C156" i="8"/>
  <c r="J156" i="8"/>
  <c r="D156" i="8"/>
  <c r="A158" i="5"/>
  <c r="E157" i="5"/>
  <c r="H157" i="5" s="1"/>
  <c r="C157" i="5"/>
  <c r="G157" i="5" s="1"/>
  <c r="I157" i="5" s="1"/>
  <c r="B158" i="5" s="1"/>
  <c r="L155" i="8"/>
  <c r="G155" i="8"/>
  <c r="H155" i="8" s="1"/>
  <c r="L156" i="8" l="1"/>
  <c r="G156" i="8"/>
  <c r="H156" i="8" s="1"/>
  <c r="K157" i="8"/>
  <c r="J157" i="8"/>
  <c r="D157" i="8"/>
  <c r="M157" i="8"/>
  <c r="A158" i="8"/>
  <c r="I157" i="8"/>
  <c r="F157" i="8"/>
  <c r="E157" i="8"/>
  <c r="C157" i="8"/>
  <c r="B157" i="8"/>
  <c r="E158" i="5"/>
  <c r="H158" i="5" s="1"/>
  <c r="C158" i="5"/>
  <c r="G158" i="5" s="1"/>
  <c r="I158" i="5" s="1"/>
  <c r="B159" i="5" s="1"/>
  <c r="A159" i="5"/>
  <c r="L157" i="8" l="1"/>
  <c r="G157" i="8"/>
  <c r="H157" i="8" s="1"/>
  <c r="E159" i="5"/>
  <c r="H159" i="5" s="1"/>
  <c r="A160" i="5"/>
  <c r="C159" i="5"/>
  <c r="G159" i="5" s="1"/>
  <c r="I159" i="5" s="1"/>
  <c r="B160" i="5" s="1"/>
  <c r="K158" i="8"/>
  <c r="J158" i="8"/>
  <c r="I158" i="8"/>
  <c r="F158" i="8"/>
  <c r="C158" i="8"/>
  <c r="B158" i="8"/>
  <c r="M158" i="8"/>
  <c r="D158" i="8"/>
  <c r="A159" i="8"/>
  <c r="E158" i="8"/>
  <c r="E160" i="5" l="1"/>
  <c r="H160" i="5" s="1"/>
  <c r="C160" i="5"/>
  <c r="G160" i="5" s="1"/>
  <c r="I160" i="5" s="1"/>
  <c r="B161" i="5" s="1"/>
  <c r="A161" i="5"/>
  <c r="G158" i="8"/>
  <c r="H158" i="8" s="1"/>
  <c r="L158" i="8"/>
  <c r="J159" i="8"/>
  <c r="I159" i="8"/>
  <c r="F159" i="8"/>
  <c r="E159" i="8"/>
  <c r="A160" i="8"/>
  <c r="B159" i="8"/>
  <c r="K159" i="8"/>
  <c r="M159" i="8"/>
  <c r="D159" i="8"/>
  <c r="C159" i="8"/>
  <c r="I160" i="8" l="1"/>
  <c r="E160" i="8"/>
  <c r="D160" i="8"/>
  <c r="M160" i="8"/>
  <c r="J160" i="8"/>
  <c r="C160" i="8"/>
  <c r="B160" i="8"/>
  <c r="A161" i="8"/>
  <c r="F160" i="8"/>
  <c r="K160" i="8"/>
  <c r="E161" i="5"/>
  <c r="H161" i="5" s="1"/>
  <c r="C161" i="5"/>
  <c r="G161" i="5" s="1"/>
  <c r="I161" i="5" s="1"/>
  <c r="B162" i="5" s="1"/>
  <c r="A162" i="5"/>
  <c r="L159" i="8"/>
  <c r="G159" i="8"/>
  <c r="H159" i="8" s="1"/>
  <c r="F161" i="8" l="1"/>
  <c r="D161" i="8"/>
  <c r="C161" i="8"/>
  <c r="I161" i="8"/>
  <c r="A162" i="8"/>
  <c r="M161" i="8"/>
  <c r="K161" i="8"/>
  <c r="J161" i="8"/>
  <c r="E161" i="8"/>
  <c r="B161" i="8"/>
  <c r="G160" i="8"/>
  <c r="H160" i="8" s="1"/>
  <c r="L160" i="8"/>
  <c r="E162" i="5"/>
  <c r="H162" i="5" s="1"/>
  <c r="C162" i="5"/>
  <c r="G162" i="5" s="1"/>
  <c r="I162" i="5" s="1"/>
  <c r="B163" i="5" s="1"/>
  <c r="A163" i="5"/>
  <c r="G161" i="8" l="1"/>
  <c r="H161" i="8" s="1"/>
  <c r="L161" i="8"/>
  <c r="C163" i="5"/>
  <c r="G163" i="5" s="1"/>
  <c r="I163" i="5" s="1"/>
  <c r="B164" i="5" s="1"/>
  <c r="A164" i="5"/>
  <c r="E163" i="5"/>
  <c r="H163" i="5" s="1"/>
  <c r="F162" i="8"/>
  <c r="E162" i="8"/>
  <c r="C162" i="8"/>
  <c r="A163" i="8"/>
  <c r="B162" i="8"/>
  <c r="K162" i="8"/>
  <c r="I162" i="8"/>
  <c r="D162" i="8"/>
  <c r="M162" i="8"/>
  <c r="J162" i="8"/>
  <c r="E164" i="5" l="1"/>
  <c r="H164" i="5" s="1"/>
  <c r="C164" i="5"/>
  <c r="G164" i="5" s="1"/>
  <c r="I164" i="5" s="1"/>
  <c r="B165" i="5" s="1"/>
  <c r="A165" i="5"/>
  <c r="F163" i="8"/>
  <c r="E163" i="8"/>
  <c r="D163" i="8"/>
  <c r="A164" i="8"/>
  <c r="B163" i="8"/>
  <c r="M163" i="8"/>
  <c r="J163" i="8"/>
  <c r="K163" i="8"/>
  <c r="C163" i="8"/>
  <c r="I163" i="8"/>
  <c r="G162" i="8"/>
  <c r="H162" i="8" s="1"/>
  <c r="L162" i="8"/>
  <c r="A166" i="5" l="1"/>
  <c r="E165" i="5"/>
  <c r="H165" i="5" s="1"/>
  <c r="C165" i="5"/>
  <c r="G165" i="5" s="1"/>
  <c r="I165" i="5" s="1"/>
  <c r="B166" i="5" s="1"/>
  <c r="E164" i="8"/>
  <c r="D164" i="8"/>
  <c r="C164" i="8"/>
  <c r="M164" i="8"/>
  <c r="I164" i="8"/>
  <c r="F164" i="8"/>
  <c r="J164" i="8"/>
  <c r="B164" i="8"/>
  <c r="K164" i="8"/>
  <c r="A165" i="8"/>
  <c r="G163" i="8"/>
  <c r="H163" i="8" s="1"/>
  <c r="L163" i="8"/>
  <c r="L164" i="8" l="1"/>
  <c r="G164" i="8"/>
  <c r="H164" i="8" s="1"/>
  <c r="D165" i="8"/>
  <c r="C165" i="8"/>
  <c r="A166" i="8"/>
  <c r="B165" i="8"/>
  <c r="K165" i="8"/>
  <c r="E165" i="8"/>
  <c r="M165" i="8"/>
  <c r="F165" i="8"/>
  <c r="J165" i="8"/>
  <c r="I165" i="8"/>
  <c r="C166" i="5"/>
  <c r="G166" i="5" s="1"/>
  <c r="I166" i="5" s="1"/>
  <c r="B167" i="5" s="1"/>
  <c r="E166" i="5"/>
  <c r="H166" i="5" s="1"/>
  <c r="A167" i="5"/>
  <c r="C166" i="8" l="1"/>
  <c r="A167" i="8"/>
  <c r="B166" i="8"/>
  <c r="M166" i="8"/>
  <c r="K166" i="8"/>
  <c r="J166" i="8"/>
  <c r="D166" i="8"/>
  <c r="I166" i="8"/>
  <c r="F166" i="8"/>
  <c r="E166" i="8"/>
  <c r="L165" i="8"/>
  <c r="G165" i="8"/>
  <c r="H165" i="8" s="1"/>
  <c r="E167" i="5"/>
  <c r="H167" i="5" s="1"/>
  <c r="A168" i="5"/>
  <c r="C167" i="5"/>
  <c r="G167" i="5" s="1"/>
  <c r="I167" i="5" s="1"/>
  <c r="B168" i="5" s="1"/>
  <c r="G166" i="8" l="1"/>
  <c r="H166" i="8" s="1"/>
  <c r="L166" i="8"/>
  <c r="A169" i="5"/>
  <c r="E168" i="5"/>
  <c r="H168" i="5" s="1"/>
  <c r="C168" i="5"/>
  <c r="G168" i="5" s="1"/>
  <c r="I168" i="5" s="1"/>
  <c r="B169" i="5" s="1"/>
  <c r="A168" i="8"/>
  <c r="B167" i="8"/>
  <c r="M167" i="8"/>
  <c r="J167" i="8"/>
  <c r="I167" i="8"/>
  <c r="F167" i="8"/>
  <c r="C167" i="8"/>
  <c r="D167" i="8"/>
  <c r="K167" i="8"/>
  <c r="E167" i="8"/>
  <c r="E169" i="5" l="1"/>
  <c r="H169" i="5" s="1"/>
  <c r="C169" i="5"/>
  <c r="G169" i="5" s="1"/>
  <c r="I169" i="5" s="1"/>
  <c r="B170" i="5" s="1"/>
  <c r="A170" i="5"/>
  <c r="M168" i="8"/>
  <c r="K168" i="8"/>
  <c r="I168" i="8"/>
  <c r="E168" i="8"/>
  <c r="A169" i="8"/>
  <c r="B168" i="8"/>
  <c r="J168" i="8"/>
  <c r="F168" i="8"/>
  <c r="D168" i="8"/>
  <c r="C168" i="8"/>
  <c r="L167" i="8"/>
  <c r="G167" i="8"/>
  <c r="H167" i="8" s="1"/>
  <c r="K169" i="8" l="1"/>
  <c r="J169" i="8"/>
  <c r="D169" i="8"/>
  <c r="M169" i="8"/>
  <c r="C169" i="8"/>
  <c r="B169" i="8"/>
  <c r="A170" i="8"/>
  <c r="I169" i="8"/>
  <c r="E169" i="8"/>
  <c r="F169" i="8"/>
  <c r="E170" i="5"/>
  <c r="H170" i="5" s="1"/>
  <c r="A171" i="5"/>
  <c r="C170" i="5"/>
  <c r="G170" i="5" s="1"/>
  <c r="I170" i="5" s="1"/>
  <c r="B171" i="5" s="1"/>
  <c r="L168" i="8"/>
  <c r="G168" i="8"/>
  <c r="H168" i="8" s="1"/>
  <c r="K170" i="8" l="1"/>
  <c r="J170" i="8"/>
  <c r="I170" i="8"/>
  <c r="F170" i="8"/>
  <c r="C170" i="8"/>
  <c r="A171" i="8"/>
  <c r="M170" i="8"/>
  <c r="E170" i="8"/>
  <c r="D170" i="8"/>
  <c r="B170" i="8"/>
  <c r="L169" i="8"/>
  <c r="G169" i="8"/>
  <c r="H169" i="8" s="1"/>
  <c r="C171" i="5"/>
  <c r="G171" i="5" s="1"/>
  <c r="I171" i="5" s="1"/>
  <c r="B172" i="5" s="1"/>
  <c r="A172" i="5"/>
  <c r="E171" i="5"/>
  <c r="H171" i="5" s="1"/>
  <c r="G170" i="8" l="1"/>
  <c r="H170" i="8" s="1"/>
  <c r="L170" i="8"/>
  <c r="J171" i="8"/>
  <c r="I171" i="8"/>
  <c r="F171" i="8"/>
  <c r="E171" i="8"/>
  <c r="A172" i="8"/>
  <c r="B171" i="8"/>
  <c r="K171" i="8"/>
  <c r="D171" i="8"/>
  <c r="C171" i="8"/>
  <c r="M171" i="8"/>
  <c r="A173" i="5"/>
  <c r="E172" i="5"/>
  <c r="H172" i="5" s="1"/>
  <c r="C172" i="5"/>
  <c r="G172" i="5" s="1"/>
  <c r="I172" i="5" s="1"/>
  <c r="B173" i="5" s="1"/>
  <c r="G171" i="8" l="1"/>
  <c r="H171" i="8" s="1"/>
  <c r="L171" i="8"/>
  <c r="E173" i="5"/>
  <c r="H173" i="5" s="1"/>
  <c r="A174" i="5"/>
  <c r="C173" i="5"/>
  <c r="G173" i="5" s="1"/>
  <c r="I173" i="5" s="1"/>
  <c r="B174" i="5" s="1"/>
  <c r="I172" i="8"/>
  <c r="E172" i="8"/>
  <c r="D172" i="8"/>
  <c r="M172" i="8"/>
  <c r="J172" i="8"/>
  <c r="A173" i="8"/>
  <c r="K172" i="8"/>
  <c r="B172" i="8"/>
  <c r="F172" i="8"/>
  <c r="C172" i="8"/>
  <c r="F173" i="8" l="1"/>
  <c r="D173" i="8"/>
  <c r="C173" i="8"/>
  <c r="I173" i="8"/>
  <c r="J173" i="8"/>
  <c r="E173" i="8"/>
  <c r="B173" i="8"/>
  <c r="A174" i="8"/>
  <c r="K173" i="8"/>
  <c r="M173" i="8"/>
  <c r="A175" i="5"/>
  <c r="E174" i="5"/>
  <c r="H174" i="5" s="1"/>
  <c r="C174" i="5"/>
  <c r="G174" i="5" s="1"/>
  <c r="I174" i="5" s="1"/>
  <c r="B175" i="5" s="1"/>
  <c r="G172" i="8"/>
  <c r="H172" i="8" s="1"/>
  <c r="L172" i="8"/>
  <c r="F174" i="8" l="1"/>
  <c r="E174" i="8"/>
  <c r="C174" i="8"/>
  <c r="A175" i="8"/>
  <c r="B174" i="8"/>
  <c r="K174" i="8"/>
  <c r="M174" i="8"/>
  <c r="D174" i="8"/>
  <c r="J174" i="8"/>
  <c r="I174" i="8"/>
  <c r="E175" i="5"/>
  <c r="H175" i="5" s="1"/>
  <c r="A176" i="5"/>
  <c r="C175" i="5"/>
  <c r="G175" i="5" s="1"/>
  <c r="I175" i="5" s="1"/>
  <c r="B176" i="5" s="1"/>
  <c r="G173" i="8"/>
  <c r="H173" i="8" s="1"/>
  <c r="L173" i="8"/>
  <c r="G174" i="8" l="1"/>
  <c r="H174" i="8" s="1"/>
  <c r="L174" i="8"/>
  <c r="F175" i="8"/>
  <c r="E175" i="8"/>
  <c r="D175" i="8"/>
  <c r="A176" i="8"/>
  <c r="B175" i="8"/>
  <c r="M175" i="8"/>
  <c r="J175" i="8"/>
  <c r="K175" i="8"/>
  <c r="I175" i="8"/>
  <c r="C175" i="8"/>
  <c r="E176" i="5"/>
  <c r="H176" i="5" s="1"/>
  <c r="A177" i="5"/>
  <c r="C176" i="5"/>
  <c r="G176" i="5" s="1"/>
  <c r="I176" i="5" s="1"/>
  <c r="B177" i="5" s="1"/>
  <c r="E176" i="8" l="1"/>
  <c r="D176" i="8"/>
  <c r="C176" i="8"/>
  <c r="M176" i="8"/>
  <c r="I176" i="8"/>
  <c r="F176" i="8"/>
  <c r="A177" i="8"/>
  <c r="J176" i="8"/>
  <c r="B176" i="8"/>
  <c r="K176" i="8"/>
  <c r="E177" i="5"/>
  <c r="H177" i="5" s="1"/>
  <c r="C177" i="5"/>
  <c r="G177" i="5" s="1"/>
  <c r="I177" i="5" s="1"/>
  <c r="B178" i="5" s="1"/>
  <c r="A178" i="5"/>
  <c r="G175" i="8"/>
  <c r="H175" i="8" s="1"/>
  <c r="L175" i="8"/>
  <c r="L176" i="8" l="1"/>
  <c r="G176" i="8"/>
  <c r="H176" i="8" s="1"/>
  <c r="D177" i="8"/>
  <c r="C177" i="8"/>
  <c r="A178" i="8"/>
  <c r="B177" i="8"/>
  <c r="K177" i="8"/>
  <c r="E177" i="8"/>
  <c r="M177" i="8"/>
  <c r="J177" i="8"/>
  <c r="I177" i="8"/>
  <c r="F177" i="8"/>
  <c r="E178" i="5"/>
  <c r="H178" i="5" s="1"/>
  <c r="A179" i="5"/>
  <c r="C178" i="5"/>
  <c r="G178" i="5" s="1"/>
  <c r="I178" i="5" s="1"/>
  <c r="B179" i="5" s="1"/>
  <c r="C178" i="8" l="1"/>
  <c r="A179" i="8"/>
  <c r="B178" i="8"/>
  <c r="M178" i="8"/>
  <c r="K178" i="8"/>
  <c r="J178" i="8"/>
  <c r="D178" i="8"/>
  <c r="I178" i="8"/>
  <c r="E178" i="8"/>
  <c r="F178" i="8"/>
  <c r="L177" i="8"/>
  <c r="G177" i="8"/>
  <c r="H177" i="8" s="1"/>
  <c r="E179" i="5"/>
  <c r="H179" i="5" s="1"/>
  <c r="C179" i="5"/>
  <c r="G179" i="5" s="1"/>
  <c r="I179" i="5" s="1"/>
  <c r="B180" i="5" s="1"/>
  <c r="A180" i="5"/>
  <c r="G178" i="8" l="1"/>
  <c r="H178" i="8" s="1"/>
  <c r="L178" i="8"/>
  <c r="A180" i="8"/>
  <c r="B179" i="8"/>
  <c r="M179" i="8"/>
  <c r="J179" i="8"/>
  <c r="I179" i="8"/>
  <c r="F179" i="8"/>
  <c r="C179" i="8"/>
  <c r="K179" i="8"/>
  <c r="E179" i="8"/>
  <c r="D179" i="8"/>
  <c r="C180" i="5"/>
  <c r="G180" i="5" s="1"/>
  <c r="I180" i="5" s="1"/>
  <c r="B181" i="5" s="1"/>
  <c r="A181" i="5"/>
  <c r="E180" i="5"/>
  <c r="H180" i="5" s="1"/>
  <c r="M180" i="8" l="1"/>
  <c r="K180" i="8"/>
  <c r="I180" i="8"/>
  <c r="E180" i="8"/>
  <c r="A181" i="8"/>
  <c r="B180" i="8"/>
  <c r="D180" i="8"/>
  <c r="C180" i="8"/>
  <c r="J180" i="8"/>
  <c r="F180" i="8"/>
  <c r="A182" i="5"/>
  <c r="E181" i="5"/>
  <c r="H181" i="5" s="1"/>
  <c r="C181" i="5"/>
  <c r="G181" i="5" s="1"/>
  <c r="I181" i="5" s="1"/>
  <c r="B182" i="5" s="1"/>
  <c r="L179" i="8"/>
  <c r="G179" i="8"/>
  <c r="H179" i="8" s="1"/>
  <c r="E182" i="5" l="1"/>
  <c r="H182" i="5" s="1"/>
  <c r="A183" i="5"/>
  <c r="C182" i="5"/>
  <c r="G182" i="5" s="1"/>
  <c r="I182" i="5" s="1"/>
  <c r="B183" i="5" s="1"/>
  <c r="L180" i="8"/>
  <c r="G180" i="8"/>
  <c r="H180" i="8" s="1"/>
  <c r="K181" i="8"/>
  <c r="J181" i="8"/>
  <c r="D181" i="8"/>
  <c r="M181" i="8"/>
  <c r="A182" i="8"/>
  <c r="I181" i="8"/>
  <c r="F181" i="8"/>
  <c r="B181" i="8"/>
  <c r="E181" i="8"/>
  <c r="C181" i="8"/>
  <c r="L181" i="8" l="1"/>
  <c r="G181" i="8"/>
  <c r="H181" i="8" s="1"/>
  <c r="A184" i="5"/>
  <c r="C183" i="5"/>
  <c r="G183" i="5" s="1"/>
  <c r="I183" i="5" s="1"/>
  <c r="B184" i="5" s="1"/>
  <c r="E183" i="5"/>
  <c r="H183" i="5" s="1"/>
  <c r="K182" i="8"/>
  <c r="J182" i="8"/>
  <c r="I182" i="8"/>
  <c r="F182" i="8"/>
  <c r="C182" i="8"/>
  <c r="A183" i="8"/>
  <c r="B182" i="8"/>
  <c r="E182" i="8"/>
  <c r="D182" i="8"/>
  <c r="M182" i="8"/>
  <c r="J183" i="8" l="1"/>
  <c r="I183" i="8"/>
  <c r="F183" i="8"/>
  <c r="E183" i="8"/>
  <c r="A184" i="8"/>
  <c r="B183" i="8"/>
  <c r="M183" i="8"/>
  <c r="K183" i="8"/>
  <c r="D183" i="8"/>
  <c r="C183" i="8"/>
  <c r="E184" i="5"/>
  <c r="H184" i="5" s="1"/>
  <c r="A185" i="5"/>
  <c r="C184" i="5"/>
  <c r="G184" i="5" s="1"/>
  <c r="I184" i="5" s="1"/>
  <c r="B185" i="5" s="1"/>
  <c r="G182" i="8"/>
  <c r="H182" i="8" s="1"/>
  <c r="L182" i="8"/>
  <c r="G183" i="8" l="1"/>
  <c r="H183" i="8" s="1"/>
  <c r="L183" i="8"/>
  <c r="I184" i="8"/>
  <c r="E184" i="8"/>
  <c r="D184" i="8"/>
  <c r="M184" i="8"/>
  <c r="J184" i="8"/>
  <c r="A185" i="8"/>
  <c r="K184" i="8"/>
  <c r="F184" i="8"/>
  <c r="C184" i="8"/>
  <c r="B184" i="8"/>
  <c r="E185" i="5"/>
  <c r="H185" i="5" s="1"/>
  <c r="A186" i="5"/>
  <c r="C185" i="5"/>
  <c r="G185" i="5" s="1"/>
  <c r="I185" i="5" s="1"/>
  <c r="B186" i="5" s="1"/>
  <c r="F185" i="8" l="1"/>
  <c r="D185" i="8"/>
  <c r="C185" i="8"/>
  <c r="K185" i="8"/>
  <c r="J185" i="8"/>
  <c r="I185" i="8"/>
  <c r="E185" i="8"/>
  <c r="B185" i="8"/>
  <c r="M185" i="8"/>
  <c r="A186" i="8"/>
  <c r="G184" i="8"/>
  <c r="H184" i="8" s="1"/>
  <c r="L184" i="8"/>
  <c r="C186" i="5"/>
  <c r="G186" i="5" s="1"/>
  <c r="I186" i="5" s="1"/>
  <c r="B187" i="5" s="1"/>
  <c r="A187" i="5"/>
  <c r="E186" i="5"/>
  <c r="H186" i="5" s="1"/>
  <c r="F186" i="8" l="1"/>
  <c r="E186" i="8"/>
  <c r="C186" i="8"/>
  <c r="A187" i="8"/>
  <c r="B186" i="8"/>
  <c r="K186" i="8"/>
  <c r="J186" i="8"/>
  <c r="I186" i="8"/>
  <c r="D186" i="8"/>
  <c r="M186" i="8"/>
  <c r="G185" i="8"/>
  <c r="H185" i="8" s="1"/>
  <c r="L185" i="8"/>
  <c r="A188" i="5"/>
  <c r="E187" i="5"/>
  <c r="H187" i="5" s="1"/>
  <c r="C187" i="5"/>
  <c r="G187" i="5" s="1"/>
  <c r="I187" i="5" s="1"/>
  <c r="B188" i="5" s="1"/>
  <c r="G186" i="8" l="1"/>
  <c r="H186" i="8" s="1"/>
  <c r="L186" i="8"/>
  <c r="F187" i="8"/>
  <c r="E187" i="8"/>
  <c r="D187" i="8"/>
  <c r="A188" i="8"/>
  <c r="B187" i="8"/>
  <c r="M187" i="8"/>
  <c r="J187" i="8"/>
  <c r="I187" i="8"/>
  <c r="K187" i="8"/>
  <c r="C187" i="8"/>
  <c r="E188" i="5"/>
  <c r="H188" i="5" s="1"/>
  <c r="A189" i="5"/>
  <c r="C188" i="5"/>
  <c r="G188" i="5" s="1"/>
  <c r="I188" i="5" s="1"/>
  <c r="B189" i="5" s="1"/>
  <c r="G187" i="8" l="1"/>
  <c r="H187" i="8" s="1"/>
  <c r="L187" i="8"/>
  <c r="A190" i="5"/>
  <c r="E189" i="5"/>
  <c r="H189" i="5" s="1"/>
  <c r="C189" i="5"/>
  <c r="G189" i="5" s="1"/>
  <c r="I189" i="5" s="1"/>
  <c r="B190" i="5" s="1"/>
  <c r="E188" i="8"/>
  <c r="D188" i="8"/>
  <c r="C188" i="8"/>
  <c r="M188" i="8"/>
  <c r="I188" i="8"/>
  <c r="F188" i="8"/>
  <c r="A189" i="8"/>
  <c r="K188" i="8"/>
  <c r="J188" i="8"/>
  <c r="B188" i="8"/>
  <c r="C190" i="5" l="1"/>
  <c r="G190" i="5" s="1"/>
  <c r="I190" i="5" s="1"/>
  <c r="B191" i="5" s="1"/>
  <c r="A191" i="5"/>
  <c r="E190" i="5"/>
  <c r="H190" i="5" s="1"/>
  <c r="L188" i="8"/>
  <c r="G188" i="8"/>
  <c r="H188" i="8" s="1"/>
  <c r="D189" i="8"/>
  <c r="C189" i="8"/>
  <c r="A190" i="8"/>
  <c r="B189" i="8"/>
  <c r="K189" i="8"/>
  <c r="F189" i="8"/>
  <c r="E189" i="8"/>
  <c r="M189" i="8"/>
  <c r="I189" i="8"/>
  <c r="J189" i="8"/>
  <c r="L189" i="8" l="1"/>
  <c r="G189" i="8"/>
  <c r="H189" i="8" s="1"/>
  <c r="C190" i="8"/>
  <c r="A191" i="8"/>
  <c r="B190" i="8"/>
  <c r="M190" i="8"/>
  <c r="K190" i="8"/>
  <c r="J190" i="8"/>
  <c r="F190" i="8"/>
  <c r="E190" i="8"/>
  <c r="D190" i="8"/>
  <c r="I190" i="8"/>
  <c r="E191" i="5"/>
  <c r="H191" i="5" s="1"/>
  <c r="A192" i="5"/>
  <c r="C191" i="5"/>
  <c r="G191" i="5" s="1"/>
  <c r="I191" i="5" s="1"/>
  <c r="B192" i="5" s="1"/>
  <c r="G190" i="8" l="1"/>
  <c r="H190" i="8" s="1"/>
  <c r="L190" i="8"/>
  <c r="A192" i="8"/>
  <c r="B191" i="8"/>
  <c r="M191" i="8"/>
  <c r="J191" i="8"/>
  <c r="I191" i="8"/>
  <c r="F191" i="8"/>
  <c r="E191" i="8"/>
  <c r="D191" i="8"/>
  <c r="C191" i="8"/>
  <c r="K191" i="8"/>
  <c r="E192" i="5"/>
  <c r="H192" i="5" s="1"/>
  <c r="A193" i="5"/>
  <c r="C192" i="5"/>
  <c r="G192" i="5" s="1"/>
  <c r="I192" i="5" s="1"/>
  <c r="B193" i="5" s="1"/>
  <c r="L191" i="8" l="1"/>
  <c r="G191" i="8"/>
  <c r="H191" i="8" s="1"/>
  <c r="M192" i="8"/>
  <c r="K192" i="8"/>
  <c r="I192" i="8"/>
  <c r="E192" i="8"/>
  <c r="D192" i="8"/>
  <c r="C192" i="8"/>
  <c r="A193" i="8"/>
  <c r="B192" i="8"/>
  <c r="J192" i="8"/>
  <c r="F192" i="8"/>
  <c r="E193" i="5"/>
  <c r="H193" i="5" s="1"/>
  <c r="A194" i="5"/>
  <c r="C193" i="5"/>
  <c r="G193" i="5" s="1"/>
  <c r="I193" i="5" s="1"/>
  <c r="B194" i="5" s="1"/>
  <c r="L192" i="8" l="1"/>
  <c r="G192" i="8"/>
  <c r="H192" i="8" s="1"/>
  <c r="E194" i="5"/>
  <c r="H194" i="5" s="1"/>
  <c r="C194" i="5"/>
  <c r="G194" i="5" s="1"/>
  <c r="I194" i="5" s="1"/>
  <c r="B195" i="5" s="1"/>
  <c r="A195" i="5"/>
  <c r="K193" i="8"/>
  <c r="J193" i="8"/>
  <c r="D193" i="8"/>
  <c r="C193" i="8"/>
  <c r="A194" i="8"/>
  <c r="B193" i="8"/>
  <c r="M193" i="8"/>
  <c r="I193" i="8"/>
  <c r="E193" i="8"/>
  <c r="F193" i="8"/>
  <c r="K194" i="8" l="1"/>
  <c r="J194" i="8"/>
  <c r="I194" i="8"/>
  <c r="F194" i="8"/>
  <c r="C194" i="8"/>
  <c r="A195" i="8"/>
  <c r="B194" i="8"/>
  <c r="M194" i="8"/>
  <c r="D194" i="8"/>
  <c r="E194" i="8"/>
  <c r="L193" i="8"/>
  <c r="G193" i="8"/>
  <c r="H193" i="8" s="1"/>
  <c r="E195" i="5"/>
  <c r="H195" i="5" s="1"/>
  <c r="C195" i="5"/>
  <c r="G195" i="5" s="1"/>
  <c r="I195" i="5" s="1"/>
  <c r="B196" i="5" s="1"/>
  <c r="A196" i="5"/>
  <c r="J195" i="8" l="1"/>
  <c r="I195" i="8"/>
  <c r="F195" i="8"/>
  <c r="E195" i="8"/>
  <c r="A196" i="8"/>
  <c r="B195" i="8"/>
  <c r="M195" i="8"/>
  <c r="K195" i="8"/>
  <c r="D195" i="8"/>
  <c r="C195" i="8"/>
  <c r="G194" i="8"/>
  <c r="H194" i="8" s="1"/>
  <c r="L194" i="8"/>
  <c r="A197" i="5"/>
  <c r="E196" i="5"/>
  <c r="H196" i="5" s="1"/>
  <c r="C196" i="5"/>
  <c r="G196" i="5" s="1"/>
  <c r="I196" i="5" s="1"/>
  <c r="B197" i="5" s="1"/>
  <c r="L195" i="8" l="1"/>
  <c r="G195" i="8"/>
  <c r="H195" i="8" s="1"/>
  <c r="I196" i="8"/>
  <c r="E196" i="8"/>
  <c r="D196" i="8"/>
  <c r="M196" i="8"/>
  <c r="K196" i="8"/>
  <c r="J196" i="8"/>
  <c r="F196" i="8"/>
  <c r="C196" i="8"/>
  <c r="B196" i="8"/>
  <c r="A197" i="8"/>
  <c r="E197" i="5"/>
  <c r="H197" i="5" s="1"/>
  <c r="C197" i="5"/>
  <c r="G197" i="5" s="1"/>
  <c r="I197" i="5" s="1"/>
  <c r="B198" i="5" s="1"/>
  <c r="A198" i="5"/>
  <c r="A199" i="5" l="1"/>
  <c r="E198" i="5"/>
  <c r="H198" i="5" s="1"/>
  <c r="C198" i="5"/>
  <c r="G198" i="5" s="1"/>
  <c r="I198" i="5" s="1"/>
  <c r="B199" i="5" s="1"/>
  <c r="G196" i="8"/>
  <c r="H196" i="8" s="1"/>
  <c r="L196" i="8"/>
  <c r="F197" i="8"/>
  <c r="D197" i="8"/>
  <c r="C197" i="8"/>
  <c r="K197" i="8"/>
  <c r="J197" i="8"/>
  <c r="I197" i="8"/>
  <c r="M197" i="8"/>
  <c r="E197" i="8"/>
  <c r="A198" i="8"/>
  <c r="B197" i="8"/>
  <c r="G197" i="8" l="1"/>
  <c r="H197" i="8" s="1"/>
  <c r="L197" i="8"/>
  <c r="C199" i="5"/>
  <c r="G199" i="5" s="1"/>
  <c r="I199" i="5" s="1"/>
  <c r="B200" i="5" s="1"/>
  <c r="A200" i="5"/>
  <c r="E199" i="5"/>
  <c r="H199" i="5" s="1"/>
  <c r="F198" i="8"/>
  <c r="E198" i="8"/>
  <c r="C198" i="8"/>
  <c r="A199" i="8"/>
  <c r="B198" i="8"/>
  <c r="K198" i="8"/>
  <c r="J198" i="8"/>
  <c r="I198" i="8"/>
  <c r="M198" i="8"/>
  <c r="D198" i="8"/>
  <c r="F199" i="8" l="1"/>
  <c r="E199" i="8"/>
  <c r="D199" i="8"/>
  <c r="A200" i="8"/>
  <c r="B199" i="8"/>
  <c r="M199" i="8"/>
  <c r="J199" i="8"/>
  <c r="I199" i="8"/>
  <c r="K199" i="8"/>
  <c r="C199" i="8"/>
  <c r="G198" i="8"/>
  <c r="H198" i="8" s="1"/>
  <c r="L198" i="8"/>
  <c r="E200" i="5"/>
  <c r="H200" i="5" s="1"/>
  <c r="A201" i="5"/>
  <c r="C200" i="5"/>
  <c r="G200" i="5" s="1"/>
  <c r="I200" i="5" s="1"/>
  <c r="B201" i="5" s="1"/>
  <c r="E200" i="8" l="1"/>
  <c r="D200" i="8"/>
  <c r="C200" i="8"/>
  <c r="M200" i="8"/>
  <c r="I200" i="8"/>
  <c r="F200" i="8"/>
  <c r="B200" i="8"/>
  <c r="A201" i="8"/>
  <c r="J200" i="8"/>
  <c r="K200" i="8"/>
  <c r="G199" i="8"/>
  <c r="H199" i="8" s="1"/>
  <c r="L199" i="8"/>
  <c r="E201" i="5"/>
  <c r="H201" i="5" s="1"/>
  <c r="A202" i="5"/>
  <c r="C201" i="5"/>
  <c r="G201" i="5" s="1"/>
  <c r="I201" i="5" s="1"/>
  <c r="B202" i="5" s="1"/>
  <c r="D201" i="8" l="1"/>
  <c r="C201" i="8"/>
  <c r="A202" i="8"/>
  <c r="B201" i="8"/>
  <c r="K201" i="8"/>
  <c r="F201" i="8"/>
  <c r="E201" i="8"/>
  <c r="I201" i="8"/>
  <c r="J201" i="8"/>
  <c r="M201" i="8"/>
  <c r="L200" i="8"/>
  <c r="G200" i="8"/>
  <c r="H200" i="8" s="1"/>
  <c r="C202" i="5"/>
  <c r="G202" i="5" s="1"/>
  <c r="I202" i="5" s="1"/>
  <c r="B203" i="5" s="1"/>
  <c r="A203" i="5"/>
  <c r="E202" i="5"/>
  <c r="H202" i="5" s="1"/>
  <c r="C202" i="8" l="1"/>
  <c r="A203" i="8"/>
  <c r="B202" i="8"/>
  <c r="M202" i="8"/>
  <c r="K202" i="8"/>
  <c r="J202" i="8"/>
  <c r="F202" i="8"/>
  <c r="E202" i="8"/>
  <c r="D202" i="8"/>
  <c r="I202" i="8"/>
  <c r="E203" i="5"/>
  <c r="H203" i="5" s="1"/>
  <c r="C203" i="5"/>
  <c r="G203" i="5" s="1"/>
  <c r="I203" i="5" s="1"/>
  <c r="B204" i="5" s="1"/>
  <c r="A204" i="5"/>
  <c r="L201" i="8"/>
  <c r="G201" i="8"/>
  <c r="H201" i="8" s="1"/>
  <c r="G202" i="8" l="1"/>
  <c r="H202" i="8" s="1"/>
  <c r="L202" i="8"/>
  <c r="A204" i="8"/>
  <c r="B203" i="8"/>
  <c r="M203" i="8"/>
  <c r="J203" i="8"/>
  <c r="I203" i="8"/>
  <c r="F203" i="8"/>
  <c r="E203" i="8"/>
  <c r="D203" i="8"/>
  <c r="C203" i="8"/>
  <c r="K203" i="8"/>
  <c r="C204" i="5"/>
  <c r="G204" i="5" s="1"/>
  <c r="I204" i="5" s="1"/>
  <c r="E204" i="5"/>
  <c r="H204" i="5" s="1"/>
  <c r="M204" i="8" l="1"/>
  <c r="K204" i="8"/>
  <c r="J204" i="8"/>
  <c r="I204" i="8"/>
  <c r="F204" i="8"/>
  <c r="E204" i="8"/>
  <c r="D204" i="8"/>
  <c r="C204" i="8"/>
  <c r="B204" i="8"/>
  <c r="L203" i="8"/>
  <c r="G203" i="8"/>
  <c r="H203" i="8" s="1"/>
  <c r="L204" i="8" l="1"/>
  <c r="G204" i="8"/>
  <c r="H204" i="8" s="1"/>
</calcChain>
</file>

<file path=xl/sharedStrings.xml><?xml version="1.0" encoding="utf-8"?>
<sst xmlns="http://schemas.openxmlformats.org/spreadsheetml/2006/main" count="341" uniqueCount="230">
  <si>
    <t>COFFEE BUSINESS EXCEL TRACKER</t>
  </si>
  <si>
    <t>Use the sheets in order: Menu &amp; Pricing → Orders → Expenses → Inventory → Cash Flow → Dashboard.</t>
  </si>
  <si>
    <t>Step</t>
  </si>
  <si>
    <t>Action</t>
  </si>
  <si>
    <t>Sheet</t>
  </si>
  <si>
    <t>1</t>
  </si>
  <si>
    <t>Set your business name and tracker start date.</t>
  </si>
  <si>
    <t>Lists</t>
  </si>
  <si>
    <t>2</t>
  </si>
  <si>
    <t>Replace sample products and update prices and estimated costs.</t>
  </si>
  <si>
    <t>Menu &amp; Pricing</t>
  </si>
  <si>
    <t>3</t>
  </si>
  <si>
    <t>Enter one row for every item sold. Repeat the same Order ID for multiple items.</t>
  </si>
  <si>
    <t>Orders</t>
  </si>
  <si>
    <t>4</t>
  </si>
  <si>
    <t>Record all business expenses and choose the correct expense type.</t>
  </si>
  <si>
    <t>Expenses</t>
  </si>
  <si>
    <t>5</t>
  </si>
  <si>
    <t>Update stock in, stock used, and wastage.</t>
  </si>
  <si>
    <t>Inventory</t>
  </si>
  <si>
    <t>6</t>
  </si>
  <si>
    <t>Enter actual closing cash for daily reconciliation.</t>
  </si>
  <si>
    <t>Cash Flow</t>
  </si>
  <si>
    <t>7</t>
  </si>
  <si>
    <t>Choose report dates and review sales, expenses, and profit.</t>
  </si>
  <si>
    <t>Dashboard</t>
  </si>
  <si>
    <t>Term</t>
  </si>
  <si>
    <t>Meaning</t>
  </si>
  <si>
    <t>Gross Sales</t>
  </si>
  <si>
    <t>Price × quantity plus add-ons, before discounts.</t>
  </si>
  <si>
    <t>Net Sales</t>
  </si>
  <si>
    <t>Gross Sales less discounts; only paid and completed orders count.</t>
  </si>
  <si>
    <t>Estimated COGS</t>
  </si>
  <si>
    <t>Estimated cost of the products sold.</t>
  </si>
  <si>
    <t>Operating Expenses</t>
  </si>
  <si>
    <t>Day-to-day business costs used to calculate profit.</t>
  </si>
  <si>
    <t>Gross Profit</t>
  </si>
  <si>
    <t>Net Sales − Estimated COGS.</t>
  </si>
  <si>
    <t>Net Profit</t>
  </si>
  <si>
    <t>Gross Profit − Operating Expenses.</t>
  </si>
  <si>
    <t>Paid Cash Out</t>
  </si>
  <si>
    <t>All paid expenses, including inventory and capital purchases.</t>
  </si>
  <si>
    <t>COFFEE BUSINESS DASHBOARD</t>
  </si>
  <si>
    <t>Report Start Date</t>
  </si>
  <si>
    <t>Report End Date</t>
  </si>
  <si>
    <t>Menu Item / Variant</t>
  </si>
  <si>
    <t>Qty Sold</t>
  </si>
  <si>
    <t>Net Sales (₱)</t>
  </si>
  <si>
    <t>Est. COGS (₱)</t>
  </si>
  <si>
    <t>Gross Profit (₱)</t>
  </si>
  <si>
    <t>Business Name</t>
  </si>
  <si>
    <t>Total Orders</t>
  </si>
  <si>
    <t>Items Sold</t>
  </si>
  <si>
    <t>BUSINESS INSIGHTS</t>
  </si>
  <si>
    <t>Metric</t>
  </si>
  <si>
    <t>Result</t>
  </si>
  <si>
    <t>Best-Selling Product</t>
  </si>
  <si>
    <t>Gross Margin</t>
  </si>
  <si>
    <t>Average Order Value</t>
  </si>
  <si>
    <t>Cash Sales</t>
  </si>
  <si>
    <t>Report Days</t>
  </si>
  <si>
    <t>Digital Sales</t>
  </si>
  <si>
    <t>Net Cash Movement</t>
  </si>
  <si>
    <t>RECENT 14-DAY PERFORMANCE</t>
  </si>
  <si>
    <t>Date</t>
  </si>
  <si>
    <t>Operating Expenses (₱)</t>
  </si>
  <si>
    <t>Net Profit (₱)</t>
  </si>
  <si>
    <t>PAID EXPENSE BREAKDOWN</t>
  </si>
  <si>
    <t>Expense Category</t>
  </si>
  <si>
    <t>Paid Amount (₱)</t>
  </si>
  <si>
    <t>Ingredients</t>
  </si>
  <si>
    <t>Packaging</t>
  </si>
  <si>
    <t>Utilities</t>
  </si>
  <si>
    <t>Rent</t>
  </si>
  <si>
    <t>Wages</t>
  </si>
  <si>
    <t>Marketing</t>
  </si>
  <si>
    <t>Delivery/Transport</t>
  </si>
  <si>
    <t>Equipment &amp; Repairs</t>
  </si>
  <si>
    <t>Cleaning Supplies</t>
  </si>
  <si>
    <t>Internet</t>
  </si>
  <si>
    <t>Permits/Fees</t>
  </si>
  <si>
    <t>Miscellaneous</t>
  </si>
  <si>
    <t>ORDERS TRACKER</t>
  </si>
  <si>
    <t>One row per item sold. For one order with multiple items, repeat the same Order ID and date.</t>
  </si>
  <si>
    <t>Order ID</t>
  </si>
  <si>
    <t>Time</t>
  </si>
  <si>
    <t>Customer Name</t>
  </si>
  <si>
    <t>Order Type</t>
  </si>
  <si>
    <t>Category</t>
  </si>
  <si>
    <t>Quantity</t>
  </si>
  <si>
    <t>Unit Price (₱)</t>
  </si>
  <si>
    <t>Add-on Charges (₱)</t>
  </si>
  <si>
    <t>Gross Sales (₱)</t>
  </si>
  <si>
    <t>Discount (₱)</t>
  </si>
  <si>
    <t>Est. Unit Cost (₱)</t>
  </si>
  <si>
    <t>Payment Method</t>
  </si>
  <si>
    <t>Payment Status</t>
  </si>
  <si>
    <t>Order Status</t>
  </si>
  <si>
    <t>Staff / Cashier</t>
  </si>
  <si>
    <t>Notes</t>
  </si>
  <si>
    <t>Order Count Helper</t>
  </si>
  <si>
    <t>EXPENSES TRACKER</t>
  </si>
  <si>
    <t>Operating Expenses affect net profit. Inventory and capital purchases still appear as paid cash out.</t>
  </si>
  <si>
    <t>Expense ID</t>
  </si>
  <si>
    <t>Item / Description</t>
  </si>
  <si>
    <t>Supplier</t>
  </si>
  <si>
    <t>Unit</t>
  </si>
  <si>
    <t>Unit Cost (₱)</t>
  </si>
  <si>
    <t>Total Expense (₱)</t>
  </si>
  <si>
    <t>Expense Type</t>
  </si>
  <si>
    <t>Status</t>
  </si>
  <si>
    <t>Paid By</t>
  </si>
  <si>
    <t>Receipt No.</t>
  </si>
  <si>
    <t>DAILY CASH FLOW &amp; RECONCILIATION</t>
  </si>
  <si>
    <t>Cash sales and cash expenses pull automatically. Enter other cash movements and actual closing cash.</t>
  </si>
  <si>
    <t>Opening Cash (₱)</t>
  </si>
  <si>
    <t>Cash Sales (₱)</t>
  </si>
  <si>
    <t>Other Cash In (₱)</t>
  </si>
  <si>
    <t>Cash Expenses (₱)</t>
  </si>
  <si>
    <t>Other Cash Out (₱)</t>
  </si>
  <si>
    <t>Total Cash In (₱)</t>
  </si>
  <si>
    <t>Total Cash Out (₱)</t>
  </si>
  <si>
    <t>Expected Closing (₱)</t>
  </si>
  <si>
    <t>Actual Closing (₱)</t>
  </si>
  <si>
    <t>Cash Variance (₱)</t>
  </si>
  <si>
    <t>MENU &amp; PRICING</t>
  </si>
  <si>
    <t>Replace the sample menu. Each size or variation should have a unique Menu Item / Variant name.</t>
  </si>
  <si>
    <t>Product Name</t>
  </si>
  <si>
    <t>Size</t>
  </si>
  <si>
    <t>Selling Price (₱)</t>
  </si>
  <si>
    <t>Profit per Item (₱)</t>
  </si>
  <si>
    <t>Profit Margin</t>
  </si>
  <si>
    <t>Americano - Regular</t>
  </si>
  <si>
    <t>Coffee</t>
  </si>
  <si>
    <t>Americano</t>
  </si>
  <si>
    <t>Regular</t>
  </si>
  <si>
    <t>Available</t>
  </si>
  <si>
    <t>Edit or replace</t>
  </si>
  <si>
    <t>Cafe Latte - Regular</t>
  </si>
  <si>
    <t>Cafe Latte</t>
  </si>
  <si>
    <t>Spanish Latte - Regular</t>
  </si>
  <si>
    <t>Spanish Latte</t>
  </si>
  <si>
    <t>Caramel Macchiato - Regular</t>
  </si>
  <si>
    <t>Caramel Macchiato</t>
  </si>
  <si>
    <t>Matcha Latte - Regular</t>
  </si>
  <si>
    <t>Tea &amp; Matcha</t>
  </si>
  <si>
    <t>Matcha Latte</t>
  </si>
  <si>
    <t>Chocolate Drink - Regular</t>
  </si>
  <si>
    <t>Non-Coffee</t>
  </si>
  <si>
    <t>Chocolate Drink</t>
  </si>
  <si>
    <t>Croissant</t>
  </si>
  <si>
    <t>Food</t>
  </si>
  <si>
    <t>Extra Espresso Shot</t>
  </si>
  <si>
    <t>Add-on</t>
  </si>
  <si>
    <t>INVENTORY TRACKER</t>
  </si>
  <si>
    <t>Update stock in, stock used, and wastage. Ending stock and reorder status calculate automatically.</t>
  </si>
  <si>
    <t>Item ID</t>
  </si>
  <si>
    <t>Ingredient / Supply</t>
  </si>
  <si>
    <t>Beginning Stock</t>
  </si>
  <si>
    <t>Stock In</t>
  </si>
  <si>
    <t>Stock Used</t>
  </si>
  <si>
    <t>Wastage</t>
  </si>
  <si>
    <t>Ending Stock</t>
  </si>
  <si>
    <t>Reorder Level</t>
  </si>
  <si>
    <t>Stock Status</t>
  </si>
  <si>
    <t>Inventory Value (₱)</t>
  </si>
  <si>
    <t>Expiration Date</t>
  </si>
  <si>
    <t>Last Updated</t>
  </si>
  <si>
    <t>INV-001</t>
  </si>
  <si>
    <t>Coffee Beans</t>
  </si>
  <si>
    <t>Ingredient</t>
  </si>
  <si>
    <t>gram</t>
  </si>
  <si>
    <t>INV-002</t>
  </si>
  <si>
    <t>Fresh Milk</t>
  </si>
  <si>
    <t>milliliter</t>
  </si>
  <si>
    <t>INV-003</t>
  </si>
  <si>
    <t>12 oz Cups</t>
  </si>
  <si>
    <t>piece</t>
  </si>
  <si>
    <t>INV-004</t>
  </si>
  <si>
    <t>Cup Lids</t>
  </si>
  <si>
    <t>DAILY SALES &amp; PROFIT SUMMARY</t>
  </si>
  <si>
    <t>Automatic daily totals beginning from the Tracker Start Date in Lists.</t>
  </si>
  <si>
    <t>Discounts (₱)</t>
  </si>
  <si>
    <t>Digital Sales (₱)</t>
  </si>
  <si>
    <t>Paid Cash Out (₱)</t>
  </si>
  <si>
    <t>COFFEE BUSINESS TRACKER — LISTS &amp; SETTINGS</t>
  </si>
  <si>
    <t>Business Setting</t>
  </si>
  <si>
    <t>Value</t>
  </si>
  <si>
    <t>My Coffee Business</t>
  </si>
  <si>
    <t>Tracker Start Date</t>
  </si>
  <si>
    <t>Guide</t>
  </si>
  <si>
    <t>Edit blue-text cells.</t>
  </si>
  <si>
    <t>Expense Status</t>
  </si>
  <si>
    <t>Inventory Category</t>
  </si>
  <si>
    <t>Menu Category</t>
  </si>
  <si>
    <t>Menu Status</t>
  </si>
  <si>
    <t>Dine-in</t>
  </si>
  <si>
    <t>Cash</t>
  </si>
  <si>
    <t>Paid</t>
  </si>
  <si>
    <t>Completed</t>
  </si>
  <si>
    <t>Operating Expense</t>
  </si>
  <si>
    <t>Takeout</t>
  </si>
  <si>
    <t>GCash</t>
  </si>
  <si>
    <t>Pending</t>
  </si>
  <si>
    <t>Preparing</t>
  </si>
  <si>
    <t>Inventory Purchase</t>
  </si>
  <si>
    <t>Unpaid</t>
  </si>
  <si>
    <t>pack</t>
  </si>
  <si>
    <t>Unavailable</t>
  </si>
  <si>
    <t>Small</t>
  </si>
  <si>
    <t>Delivery</t>
  </si>
  <si>
    <t>Maya</t>
  </si>
  <si>
    <t>Refunded</t>
  </si>
  <si>
    <t>Cancelled</t>
  </si>
  <si>
    <t>Capital Expense</t>
  </si>
  <si>
    <t>Reimbursable</t>
  </si>
  <si>
    <t>Cleaning Supply</t>
  </si>
  <si>
    <t>box</t>
  </si>
  <si>
    <t>Medium</t>
  </si>
  <si>
    <t>Pickup</t>
  </si>
  <si>
    <t>Bank Transfer</t>
  </si>
  <si>
    <t>Equipment</t>
  </si>
  <si>
    <t>Large</t>
  </si>
  <si>
    <t>Card</t>
  </si>
  <si>
    <t>Other</t>
  </si>
  <si>
    <t>kilogram</t>
  </si>
  <si>
    <t>liter</t>
  </si>
  <si>
    <t>bottle</t>
  </si>
  <si>
    <t>bag</t>
  </si>
  <si>
    <t>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</si>
</sst>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 d\,\ yyyy"/>
    <numFmt numFmtId="165" formatCode="\₱#,##0.00;[Red]\(\₱#,##0.00\);\-"/>
    <numFmt numFmtId="166" formatCode="0.0%;[Red]\(0.0%\);\-"/>
    <numFmt numFmtId="167" formatCode="h:mm\ AM/PM"/>
    <numFmt numFmtId="168" formatCode="#,##0;[Red]\(#,##0\);\-"/>
    <numFmt numFmtId="169" formatCode="mmm\ d"/>
  </numFmts>
  <fonts count="10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2B2B2B"/>
      <name val="Carlito"/>
    </font>
    <font>
      <sz val="11"/>
      <color rgb="FF0000FF"/>
      <name val="Carlito"/>
    </font>
    <font>
      <i/>
      <sz val="11"/>
      <color rgb="FF4E342E"/>
      <name val="Carlito"/>
    </font>
    <font>
      <b/>
      <sz val="11"/>
      <color rgb="FF4E342E"/>
      <name val="Carlito"/>
    </font>
    <font>
      <sz val="11"/>
      <color rgb="FF000000"/>
      <name val="Carlito"/>
    </font>
    <font>
      <sz val="11"/>
      <color rgb="FF008000"/>
      <name val="Carlito"/>
    </font>
    <font>
      <b/>
      <sz val="17"/>
      <color rgb="FF0080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4E342E"/>
      </patternFill>
    </fill>
    <fill>
      <patternFill patternType="solid">
        <fgColor rgb="FF5D8A66"/>
      </patternFill>
    </fill>
    <fill>
      <patternFill patternType="solid">
        <fgColor rgb="FFEADBC8"/>
      </patternFill>
    </fill>
    <fill>
      <patternFill patternType="solid">
        <fgColor rgb="FFFFFDF5"/>
      </patternFill>
    </fill>
    <fill>
      <patternFill patternType="solid">
        <fgColor rgb="FFFFF4CC"/>
      </patternFill>
    </fill>
    <fill>
      <patternFill patternType="solid">
        <fgColor rgb="FFFFFFFF"/>
      </patternFill>
    </fill>
    <fill>
      <patternFill patternType="solid">
        <fgColor rgb="FF6D4C41"/>
      </patternFill>
    </fill>
    <fill>
      <patternFill patternType="solid">
        <fgColor rgb="FFFFF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4" fillId="5" borderId="0" xfId="0" applyFont="1" applyFill="1"/>
    <xf numFmtId="164" fontId="4" fillId="5" borderId="0" xfId="0" applyNumberFormat="1" applyFont="1" applyFill="1"/>
    <xf numFmtId="0" fontId="6" fillId="6" borderId="0" xfId="0" applyFont="1" applyFill="1" applyAlignment="1">
      <alignment horizontal="center"/>
    </xf>
    <xf numFmtId="0" fontId="0" fillId="0" borderId="0" xfId="0" applyAlignment="1">
      <alignment wrapText="1"/>
    </xf>
    <xf numFmtId="0" fontId="7" fillId="7" borderId="0" xfId="0" applyFont="1" applyFill="1"/>
    <xf numFmtId="165" fontId="4" fillId="5" borderId="0" xfId="0" applyNumberFormat="1" applyFont="1" applyFill="1"/>
    <xf numFmtId="165" fontId="7" fillId="7" borderId="0" xfId="0" applyNumberFormat="1" applyFont="1" applyFill="1"/>
    <xf numFmtId="166" fontId="7" fillId="7" borderId="0" xfId="0" applyNumberFormat="1" applyFont="1" applyFill="1"/>
    <xf numFmtId="0" fontId="8" fillId="7" borderId="0" xfId="0" applyFont="1" applyFill="1"/>
    <xf numFmtId="167" fontId="4" fillId="5" borderId="0" xfId="0" applyNumberFormat="1" applyFont="1" applyFill="1"/>
    <xf numFmtId="168" fontId="4" fillId="5" borderId="0" xfId="0" applyNumberFormat="1" applyFont="1" applyFill="1"/>
    <xf numFmtId="165" fontId="8" fillId="7" borderId="0" xfId="0" applyNumberFormat="1" applyFont="1" applyFill="1"/>
    <xf numFmtId="2" fontId="4" fillId="5" borderId="0" xfId="0" applyNumberFormat="1" applyFont="1" applyFill="1"/>
    <xf numFmtId="2" fontId="7" fillId="7" borderId="0" xfId="0" applyNumberFormat="1" applyFont="1" applyFill="1"/>
    <xf numFmtId="164" fontId="8" fillId="7" borderId="0" xfId="0" applyNumberFormat="1" applyFont="1" applyFill="1"/>
    <xf numFmtId="168" fontId="8" fillId="7" borderId="0" xfId="0" applyNumberFormat="1" applyFont="1" applyFill="1"/>
    <xf numFmtId="164" fontId="4" fillId="6" borderId="0" xfId="0" applyNumberFormat="1" applyFont="1" applyFill="1"/>
    <xf numFmtId="166" fontId="8" fillId="7" borderId="0" xfId="0" applyNumberFormat="1" applyFont="1" applyFill="1"/>
    <xf numFmtId="169" fontId="8" fillId="7" borderId="0" xfId="0" applyNumberFormat="1" applyFont="1" applyFill="1"/>
    <xf numFmtId="0" fontId="1" fillId="2" borderId="0" xfId="0" applyFont="1" applyFill="1" applyAlignment="1">
      <alignment vertical="center"/>
    </xf>
    <xf numFmtId="0" fontId="0" fillId="0" borderId="0" xfId="0"/>
    <xf numFmtId="0" fontId="5" fillId="6" borderId="0" xfId="0" applyFont="1" applyFill="1" applyAlignment="1">
      <alignment wrapText="1"/>
    </xf>
    <xf numFmtId="0" fontId="8" fillId="7" borderId="0" xfId="0" applyFont="1" applyFill="1"/>
    <xf numFmtId="0" fontId="2" fillId="8" borderId="0" xfId="0" applyFont="1" applyFill="1" applyAlignment="1">
      <alignment horizontal="center" vertical="center"/>
    </xf>
    <xf numFmtId="165" fontId="9" fillId="9" borderId="0" xfId="0" applyNumberFormat="1" applyFont="1" applyFill="1" applyAlignment="1">
      <alignment horizontal="center" vertical="center"/>
    </xf>
    <xf numFmtId="168" fontId="9" fillId="9" borderId="0" xfId="0" applyNumberFormat="1" applyFont="1" applyFill="1" applyAlignment="1">
      <alignment horizontal="center" vertical="center"/>
    </xf>
    <xf numFmtId="0" fontId="2" fillId="8" borderId="0" xfId="0" applyFont="1" applyFill="1"/>
  </cellXfs>
  <cellStyles count="1">
    <cellStyle name="Normal" xfId="0" builtinId="0"/>
  </cellStyles>
  <dxfs count="15">
    <dxf>
      <font>
        <b/>
        <color rgb="FF5D8A66"/>
      </font>
      <fill>
        <patternFill patternType="solid">
          <bgColor rgb="FFE8F5E9"/>
        </patternFill>
      </fill>
    </dxf>
    <dxf>
      <font>
        <b/>
        <color rgb="FFC62828"/>
      </font>
      <fill>
        <patternFill patternType="solid">
          <bgColor rgb="FFFDECEC"/>
        </patternFill>
      </fill>
    </dxf>
    <dxf>
      <font>
        <b/>
        <color rgb="FF5D8A66"/>
      </font>
      <fill>
        <patternFill patternType="solid">
          <bgColor rgb="FFE8F5E9"/>
        </patternFill>
      </fill>
    </dxf>
    <dxf>
      <font>
        <b/>
        <color rgb="FFC62828"/>
      </font>
      <fill>
        <patternFill patternType="solid">
          <bgColor rgb="FFFDECEC"/>
        </patternFill>
      </fill>
    </dxf>
    <dxf>
      <font>
        <b/>
        <color rgb="FFC62828"/>
      </font>
      <fill>
        <patternFill patternType="solid">
          <bgColor rgb="FFFDECEC"/>
        </patternFill>
      </fill>
    </dxf>
    <dxf>
      <font>
        <b/>
        <color rgb="FF5D8A66"/>
      </font>
      <fill>
        <patternFill patternType="solid">
          <bgColor rgb="FFE8F5E9"/>
        </patternFill>
      </fill>
    </dxf>
    <dxf>
      <font>
        <b/>
        <color rgb="FF5D8A66"/>
      </font>
      <fill>
        <patternFill patternType="solid">
          <bgColor rgb="FFE8F5E9"/>
        </patternFill>
      </fill>
    </dxf>
    <dxf>
      <font>
        <b/>
        <color rgb="FFC62828"/>
      </font>
      <fill>
        <patternFill patternType="solid">
          <bgColor rgb="FFFDECEC"/>
        </patternFill>
      </fill>
    </dxf>
    <dxf>
      <font>
        <b/>
        <color rgb="FF4E342E"/>
      </font>
      <fill>
        <patternFill patternType="solid">
          <bgColor rgb="FFFFF4CC"/>
        </patternFill>
      </fill>
    </dxf>
    <dxf>
      <font>
        <b/>
        <color rgb="FF5D8A66"/>
      </font>
      <fill>
        <patternFill patternType="solid">
          <bgColor rgb="FFE8F5E9"/>
        </patternFill>
      </fill>
    </dxf>
    <dxf>
      <font>
        <b/>
        <color rgb="FFC62828"/>
      </font>
      <fill>
        <patternFill patternType="solid">
          <bgColor rgb="FFFDECEC"/>
        </patternFill>
      </fill>
    </dxf>
    <dxf>
      <font>
        <b/>
        <color rgb="FF5D8A66"/>
      </font>
      <fill>
        <patternFill patternType="solid">
          <bgColor rgb="FFE8F5E9"/>
        </patternFill>
      </fill>
    </dxf>
    <dxf>
      <font>
        <b/>
        <color rgb="FFC62828"/>
      </font>
    </dxf>
    <dxf>
      <font>
        <b/>
        <color rgb="FF5D8A66"/>
      </font>
      <fill>
        <patternFill patternType="solid">
          <bgColor rgb="FFE8F5E9"/>
        </patternFill>
      </fill>
    </dxf>
    <dxf>
      <font>
        <b/>
        <color rgb="FFC62828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PH"/>
              <a:t>Daily Sales, Expenses, and Net Profit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Net Sales (₱)</c:v>
          </c:tx>
          <c:cat>
            <c:strRef>
              <c:f>Dashboard!$U$27:$U$40</c:f>
              <c:strCache>
                <c:ptCount val="14"/>
                <c:pt idx="0">
                  <c:v>Jun 30</c:v>
                </c:pt>
                <c:pt idx="1">
                  <c:v>Jul 1</c:v>
                </c:pt>
                <c:pt idx="2">
                  <c:v>Jul 2</c:v>
                </c:pt>
                <c:pt idx="3">
                  <c:v>Jul 3</c:v>
                </c:pt>
                <c:pt idx="4">
                  <c:v>Jul 4</c:v>
                </c:pt>
                <c:pt idx="5">
                  <c:v>Jul 5</c:v>
                </c:pt>
                <c:pt idx="6">
                  <c:v>Jul 6</c:v>
                </c:pt>
                <c:pt idx="7">
                  <c:v>Jul 7</c:v>
                </c:pt>
                <c:pt idx="8">
                  <c:v>Jul 8</c:v>
                </c:pt>
                <c:pt idx="9">
                  <c:v>Jul 9</c:v>
                </c:pt>
                <c:pt idx="10">
                  <c:v>Jul 10</c:v>
                </c:pt>
                <c:pt idx="11">
                  <c:v>Jul 11</c:v>
                </c:pt>
                <c:pt idx="12">
                  <c:v>Jul 12</c:v>
                </c:pt>
                <c:pt idx="13">
                  <c:v>Jul 13</c:v>
                </c:pt>
              </c:strCache>
            </c:strRef>
          </c:cat>
          <c:val>
            <c:numRef>
              <c:f>Dashboard!$V$27:$V$40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3E-43C2-998E-E8C3DED43F15}"/>
            </c:ext>
          </c:extLst>
        </c:ser>
        <c:ser>
          <c:idx val="1"/>
          <c:order val="1"/>
          <c:tx>
            <c:v>Operating Expenses (₱)</c:v>
          </c:tx>
          <c:cat>
            <c:strRef>
              <c:f>Dashboard!$U$27:$U$40</c:f>
              <c:strCache>
                <c:ptCount val="14"/>
                <c:pt idx="0">
                  <c:v>Jun 30</c:v>
                </c:pt>
                <c:pt idx="1">
                  <c:v>Jul 1</c:v>
                </c:pt>
                <c:pt idx="2">
                  <c:v>Jul 2</c:v>
                </c:pt>
                <c:pt idx="3">
                  <c:v>Jul 3</c:v>
                </c:pt>
                <c:pt idx="4">
                  <c:v>Jul 4</c:v>
                </c:pt>
                <c:pt idx="5">
                  <c:v>Jul 5</c:v>
                </c:pt>
                <c:pt idx="6">
                  <c:v>Jul 6</c:v>
                </c:pt>
                <c:pt idx="7">
                  <c:v>Jul 7</c:v>
                </c:pt>
                <c:pt idx="8">
                  <c:v>Jul 8</c:v>
                </c:pt>
                <c:pt idx="9">
                  <c:v>Jul 9</c:v>
                </c:pt>
                <c:pt idx="10">
                  <c:v>Jul 10</c:v>
                </c:pt>
                <c:pt idx="11">
                  <c:v>Jul 11</c:v>
                </c:pt>
                <c:pt idx="12">
                  <c:v>Jul 12</c:v>
                </c:pt>
                <c:pt idx="13">
                  <c:v>Jul 13</c:v>
                </c:pt>
              </c:strCache>
            </c:strRef>
          </c:cat>
          <c:val>
            <c:numRef>
              <c:f>Dashboard!$W$27:$W$40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3E-43C2-998E-E8C3DED43F15}"/>
            </c:ext>
          </c:extLst>
        </c:ser>
        <c:ser>
          <c:idx val="2"/>
          <c:order val="2"/>
          <c:tx>
            <c:v>Net Profit (₱)</c:v>
          </c:tx>
          <c:cat>
            <c:strRef>
              <c:f>Dashboard!$U$27:$U$40</c:f>
              <c:strCache>
                <c:ptCount val="14"/>
                <c:pt idx="0">
                  <c:v>Jun 30</c:v>
                </c:pt>
                <c:pt idx="1">
                  <c:v>Jul 1</c:v>
                </c:pt>
                <c:pt idx="2">
                  <c:v>Jul 2</c:v>
                </c:pt>
                <c:pt idx="3">
                  <c:v>Jul 3</c:v>
                </c:pt>
                <c:pt idx="4">
                  <c:v>Jul 4</c:v>
                </c:pt>
                <c:pt idx="5">
                  <c:v>Jul 5</c:v>
                </c:pt>
                <c:pt idx="6">
                  <c:v>Jul 6</c:v>
                </c:pt>
                <c:pt idx="7">
                  <c:v>Jul 7</c:v>
                </c:pt>
                <c:pt idx="8">
                  <c:v>Jul 8</c:v>
                </c:pt>
                <c:pt idx="9">
                  <c:v>Jul 9</c:v>
                </c:pt>
                <c:pt idx="10">
                  <c:v>Jul 10</c:v>
                </c:pt>
                <c:pt idx="11">
                  <c:v>Jul 11</c:v>
                </c:pt>
                <c:pt idx="12">
                  <c:v>Jul 12</c:v>
                </c:pt>
                <c:pt idx="13">
                  <c:v>Jul 13</c:v>
                </c:pt>
              </c:strCache>
            </c:strRef>
          </c:cat>
          <c:val>
            <c:numRef>
              <c:f>Dashboard!$X$27:$X$40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3E-43C2-998E-E8C3DED43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Paid Expenses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Paid Amount (₱)</c:v>
          </c:tx>
          <c:invertIfNegative val="1"/>
          <c:cat>
            <c:strRef>
              <c:f>Dashboard!$A$45:$A$56</c:f>
              <c:strCache>
                <c:ptCount val="12"/>
                <c:pt idx="0">
                  <c:v>Ingredients</c:v>
                </c:pt>
                <c:pt idx="1">
                  <c:v>Packaging</c:v>
                </c:pt>
                <c:pt idx="2">
                  <c:v>Utilities</c:v>
                </c:pt>
                <c:pt idx="3">
                  <c:v>Rent</c:v>
                </c:pt>
                <c:pt idx="4">
                  <c:v>Wages</c:v>
                </c:pt>
                <c:pt idx="5">
                  <c:v>Marketing</c:v>
                </c:pt>
                <c:pt idx="6">
                  <c:v>Delivery/Transport</c:v>
                </c:pt>
                <c:pt idx="7">
                  <c:v>Equipment &amp; Repairs</c:v>
                </c:pt>
                <c:pt idx="8">
                  <c:v>Cleaning Supplies</c:v>
                </c:pt>
                <c:pt idx="9">
                  <c:v>Internet</c:v>
                </c:pt>
                <c:pt idx="10">
                  <c:v>Permits/Fees</c:v>
                </c:pt>
                <c:pt idx="11">
                  <c:v>Miscellaneous</c:v>
                </c:pt>
              </c:strCache>
            </c:strRef>
          </c:cat>
          <c:val>
            <c:numRef>
              <c:f>Dashboard!$B$45:$B$56</c:f>
              <c:numCache>
                <c:formatCode>\₱#,##0.00;[Red]\(\₱#,##0.00\);\-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D-406F-8DAF-934DED46A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₱#,##0.00;[Red]\(\₱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25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43</xdr:row>
      <xdr:rowOff>0</xdr:rowOff>
    </xdr:from>
    <xdr:to>
      <xdr:col>14</xdr:col>
      <xdr:colOff>0</xdr:colOff>
      <xdr:row>58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OrdersTable" displayName="OrdersTable" ref="A4:U154">
  <tableColumns count="21">
    <tableColumn id="1" xr3:uid="{00000000-0010-0000-0000-000001000000}" name="Order ID"/>
    <tableColumn id="2" xr3:uid="{00000000-0010-0000-0000-000002000000}" name="Date"/>
    <tableColumn id="3" xr3:uid="{00000000-0010-0000-0000-000003000000}" name="Time"/>
    <tableColumn id="4" xr3:uid="{00000000-0010-0000-0000-000004000000}" name="Customer Name"/>
    <tableColumn id="5" xr3:uid="{00000000-0010-0000-0000-000005000000}" name="Order Type"/>
    <tableColumn id="6" xr3:uid="{00000000-0010-0000-0000-000006000000}" name="Menu Item / Variant"/>
    <tableColumn id="7" xr3:uid="{00000000-0010-0000-0000-000007000000}" name="Category"/>
    <tableColumn id="8" xr3:uid="{00000000-0010-0000-0000-000008000000}" name="Quantity"/>
    <tableColumn id="9" xr3:uid="{00000000-0010-0000-0000-000009000000}" name="Unit Price (₱)"/>
    <tableColumn id="10" xr3:uid="{00000000-0010-0000-0000-00000A000000}" name="Add-on Charges (₱)"/>
    <tableColumn id="11" xr3:uid="{00000000-0010-0000-0000-00000B000000}" name="Gross Sales (₱)"/>
    <tableColumn id="12" xr3:uid="{00000000-0010-0000-0000-00000C000000}" name="Discount (₱)"/>
    <tableColumn id="13" xr3:uid="{00000000-0010-0000-0000-00000D000000}" name="Net Sales (₱)"/>
    <tableColumn id="14" xr3:uid="{00000000-0010-0000-0000-00000E000000}" name="Est. Unit Cost (₱)"/>
    <tableColumn id="15" xr3:uid="{00000000-0010-0000-0000-00000F000000}" name="Est. COGS (₱)"/>
    <tableColumn id="16" xr3:uid="{00000000-0010-0000-0000-000010000000}" name="Payment Method"/>
    <tableColumn id="17" xr3:uid="{00000000-0010-0000-0000-000011000000}" name="Payment Status"/>
    <tableColumn id="18" xr3:uid="{00000000-0010-0000-0000-000012000000}" name="Order Status"/>
    <tableColumn id="19" xr3:uid="{00000000-0010-0000-0000-000013000000}" name="Staff / Cashier"/>
    <tableColumn id="20" xr3:uid="{00000000-0010-0000-0000-000014000000}" name="Notes"/>
    <tableColumn id="21" xr3:uid="{00000000-0010-0000-0000-000015000000}" name="Order Count Help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ExpensesTable" displayName="ExpensesTable" ref="A4:P104">
  <tableColumns count="16">
    <tableColumn id="1" xr3:uid="{00000000-0010-0000-0100-000001000000}" name="Expense ID"/>
    <tableColumn id="2" xr3:uid="{00000000-0010-0000-0100-000002000000}" name="Date"/>
    <tableColumn id="3" xr3:uid="{00000000-0010-0000-0100-000003000000}" name="Time"/>
    <tableColumn id="4" xr3:uid="{00000000-0010-0000-0100-000004000000}" name="Expense Category"/>
    <tableColumn id="5" xr3:uid="{00000000-0010-0000-0100-000005000000}" name="Item / Description"/>
    <tableColumn id="6" xr3:uid="{00000000-0010-0000-0100-000006000000}" name="Supplier"/>
    <tableColumn id="7" xr3:uid="{00000000-0010-0000-0100-000007000000}" name="Quantity"/>
    <tableColumn id="8" xr3:uid="{00000000-0010-0000-0100-000008000000}" name="Unit"/>
    <tableColumn id="9" xr3:uid="{00000000-0010-0000-0100-000009000000}" name="Unit Cost (₱)"/>
    <tableColumn id="10" xr3:uid="{00000000-0010-0000-0100-00000A000000}" name="Total Expense (₱)"/>
    <tableColumn id="11" xr3:uid="{00000000-0010-0000-0100-00000B000000}" name="Payment Method"/>
    <tableColumn id="12" xr3:uid="{00000000-0010-0000-0100-00000C000000}" name="Expense Type"/>
    <tableColumn id="13" xr3:uid="{00000000-0010-0000-0100-00000D000000}" name="Status"/>
    <tableColumn id="14" xr3:uid="{00000000-0010-0000-0100-00000E000000}" name="Paid By"/>
    <tableColumn id="15" xr3:uid="{00000000-0010-0000-0100-00000F000000}" name="Receipt No."/>
    <tableColumn id="16" xr3:uid="{00000000-0010-0000-0100-000010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ashFlowTable" displayName="CashFlowTable" ref="A4:L204">
  <tableColumns count="12">
    <tableColumn id="1" xr3:uid="{00000000-0010-0000-0200-000001000000}" name="Date"/>
    <tableColumn id="2" xr3:uid="{00000000-0010-0000-0200-000002000000}" name="Opening Cash (₱)"/>
    <tableColumn id="3" xr3:uid="{00000000-0010-0000-0200-000003000000}" name="Cash Sales (₱)"/>
    <tableColumn id="4" xr3:uid="{00000000-0010-0000-0200-000004000000}" name="Other Cash In (₱)"/>
    <tableColumn id="5" xr3:uid="{00000000-0010-0000-0200-000005000000}" name="Cash Expenses (₱)"/>
    <tableColumn id="6" xr3:uid="{00000000-0010-0000-0200-000006000000}" name="Other Cash Out (₱)"/>
    <tableColumn id="7" xr3:uid="{00000000-0010-0000-0200-000007000000}" name="Total Cash In (₱)"/>
    <tableColumn id="8" xr3:uid="{00000000-0010-0000-0200-000008000000}" name="Total Cash Out (₱)"/>
    <tableColumn id="9" xr3:uid="{00000000-0010-0000-0200-000009000000}" name="Expected Closing (₱)"/>
    <tableColumn id="10" xr3:uid="{00000000-0010-0000-0200-00000A000000}" name="Actual Closing (₱)"/>
    <tableColumn id="11" xr3:uid="{00000000-0010-0000-0200-00000B000000}" name="Cash Variance (₱)"/>
    <tableColumn id="12" xr3:uid="{00000000-0010-0000-0200-00000C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MenuTable" displayName="MenuTable" ref="A4:J54">
  <tableColumns count="10">
    <tableColumn id="1" xr3:uid="{00000000-0010-0000-0300-000001000000}" name="Menu Item / Variant"/>
    <tableColumn id="2" xr3:uid="{00000000-0010-0000-0300-000002000000}" name="Category"/>
    <tableColumn id="3" xr3:uid="{00000000-0010-0000-0300-000003000000}" name="Product Name"/>
    <tableColumn id="4" xr3:uid="{00000000-0010-0000-0300-000004000000}" name="Size"/>
    <tableColumn id="5" xr3:uid="{00000000-0010-0000-0300-000005000000}" name="Selling Price (₱)"/>
    <tableColumn id="6" xr3:uid="{00000000-0010-0000-0300-000006000000}" name="Est. Unit Cost (₱)"/>
    <tableColumn id="7" xr3:uid="{00000000-0010-0000-0300-000007000000}" name="Profit per Item (₱)"/>
    <tableColumn id="8" xr3:uid="{00000000-0010-0000-0300-000008000000}" name="Profit Margin"/>
    <tableColumn id="9" xr3:uid="{00000000-0010-0000-0300-000009000000}" name="Status"/>
    <tableColumn id="10" xr3:uid="{00000000-0010-0000-0300-00000A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InventoryTable" displayName="InventoryTable" ref="A4:P104">
  <tableColumns count="16">
    <tableColumn id="1" xr3:uid="{00000000-0010-0000-0400-000001000000}" name="Item ID"/>
    <tableColumn id="2" xr3:uid="{00000000-0010-0000-0400-000002000000}" name="Ingredient / Supply"/>
    <tableColumn id="3" xr3:uid="{00000000-0010-0000-0400-000003000000}" name="Category"/>
    <tableColumn id="4" xr3:uid="{00000000-0010-0000-0400-000004000000}" name="Unit"/>
    <tableColumn id="5" xr3:uid="{00000000-0010-0000-0400-000005000000}" name="Beginning Stock"/>
    <tableColumn id="6" xr3:uid="{00000000-0010-0000-0400-000006000000}" name="Stock In"/>
    <tableColumn id="7" xr3:uid="{00000000-0010-0000-0400-000007000000}" name="Stock Used"/>
    <tableColumn id="8" xr3:uid="{00000000-0010-0000-0400-000008000000}" name="Wastage"/>
    <tableColumn id="9" xr3:uid="{00000000-0010-0000-0400-000009000000}" name="Ending Stock"/>
    <tableColumn id="10" xr3:uid="{00000000-0010-0000-0400-00000A000000}" name="Reorder Level"/>
    <tableColumn id="11" xr3:uid="{00000000-0010-0000-0400-00000B000000}" name="Stock Status"/>
    <tableColumn id="12" xr3:uid="{00000000-0010-0000-0400-00000C000000}" name="Unit Cost (₱)"/>
    <tableColumn id="13" xr3:uid="{00000000-0010-0000-0400-00000D000000}" name="Inventory Value (₱)"/>
    <tableColumn id="14" xr3:uid="{00000000-0010-0000-0400-00000E000000}" name="Supplier"/>
    <tableColumn id="15" xr3:uid="{00000000-0010-0000-0400-00000F000000}" name="Expiration Date"/>
    <tableColumn id="16" xr3:uid="{00000000-0010-0000-0400-000010000000}" name="Last Updat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ilySummaryTable" displayName="DailySummaryTable" ref="A4:M204">
  <tableColumns count="13">
    <tableColumn id="1" xr3:uid="{00000000-0010-0000-0500-000001000000}" name="Date"/>
    <tableColumn id="2" xr3:uid="{00000000-0010-0000-0500-000002000000}" name="Gross Sales (₱)"/>
    <tableColumn id="3" xr3:uid="{00000000-0010-0000-0500-000003000000}" name="Discounts (₱)"/>
    <tableColumn id="4" xr3:uid="{00000000-0010-0000-0500-000004000000}" name="Net Sales (₱)"/>
    <tableColumn id="5" xr3:uid="{00000000-0010-0000-0500-000005000000}" name="Est. COGS (₱)"/>
    <tableColumn id="6" xr3:uid="{00000000-0010-0000-0500-000006000000}" name="Operating Expenses (₱)"/>
    <tableColumn id="7" xr3:uid="{00000000-0010-0000-0500-000007000000}" name="Gross Profit (₱)"/>
    <tableColumn id="8" xr3:uid="{00000000-0010-0000-0500-000008000000}" name="Net Profit (₱)"/>
    <tableColumn id="9" xr3:uid="{00000000-0010-0000-0500-000009000000}" name="Total Orders"/>
    <tableColumn id="10" xr3:uid="{00000000-0010-0000-0500-00000A000000}" name="Items Sold"/>
    <tableColumn id="11" xr3:uid="{00000000-0010-0000-0500-00000B000000}" name="Cash Sales (₱)"/>
    <tableColumn id="12" xr3:uid="{00000000-0010-0000-0500-00000C000000}" name="Digital Sales (₱)"/>
    <tableColumn id="13" xr3:uid="{00000000-0010-0000-0500-00000D000000}" name="Paid Cash Out (₱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B26" sqref="B26"/>
    </sheetView>
  </sheetViews>
  <sheetFormatPr defaultRowHeight="13.8"/>
  <cols>
    <col min="1" max="1" width="20" customWidth="1"/>
    <col min="2" max="2" width="58" customWidth="1"/>
    <col min="3" max="3" width="24" customWidth="1"/>
  </cols>
  <sheetData>
    <row r="1" spans="1:8" ht="27.15" customHeight="1">
      <c r="A1" s="22" t="s">
        <v>0</v>
      </c>
      <c r="B1" s="23"/>
      <c r="C1" s="23"/>
      <c r="D1" s="23"/>
      <c r="E1" s="23"/>
      <c r="F1" s="23"/>
      <c r="G1" s="23"/>
      <c r="H1" s="23"/>
    </row>
    <row r="3" spans="1:8" ht="20.85" customHeight="1">
      <c r="A3" s="24" t="s">
        <v>1</v>
      </c>
      <c r="B3" s="23"/>
      <c r="C3" s="23"/>
      <c r="D3" s="23"/>
      <c r="E3" s="23"/>
      <c r="F3" s="23"/>
      <c r="G3" s="23"/>
      <c r="H3" s="23"/>
    </row>
    <row r="5" spans="1:8" ht="24" customHeight="1">
      <c r="A5" s="1" t="s">
        <v>2</v>
      </c>
      <c r="B5" s="1" t="s">
        <v>3</v>
      </c>
      <c r="C5" s="1" t="s">
        <v>4</v>
      </c>
    </row>
    <row r="6" spans="1:8">
      <c r="A6" s="5" t="s">
        <v>5</v>
      </c>
      <c r="B6" s="6" t="s">
        <v>6</v>
      </c>
      <c r="C6" s="6" t="s">
        <v>7</v>
      </c>
    </row>
    <row r="7" spans="1:8">
      <c r="A7" s="5" t="s">
        <v>8</v>
      </c>
      <c r="B7" s="6" t="s">
        <v>9</v>
      </c>
      <c r="C7" s="6" t="s">
        <v>10</v>
      </c>
    </row>
    <row r="8" spans="1:8" ht="27.6">
      <c r="A8" s="5" t="s">
        <v>11</v>
      </c>
      <c r="B8" s="6" t="s">
        <v>12</v>
      </c>
      <c r="C8" s="6" t="s">
        <v>13</v>
      </c>
    </row>
    <row r="9" spans="1:8">
      <c r="A9" s="5" t="s">
        <v>14</v>
      </c>
      <c r="B9" s="6" t="s">
        <v>15</v>
      </c>
      <c r="C9" s="6" t="s">
        <v>16</v>
      </c>
    </row>
    <row r="10" spans="1:8">
      <c r="A10" s="5" t="s">
        <v>17</v>
      </c>
      <c r="B10" s="6" t="s">
        <v>18</v>
      </c>
      <c r="C10" s="6" t="s">
        <v>19</v>
      </c>
    </row>
    <row r="11" spans="1:8">
      <c r="A11" s="5" t="s">
        <v>20</v>
      </c>
      <c r="B11" s="6" t="s">
        <v>21</v>
      </c>
      <c r="C11" s="6" t="s">
        <v>22</v>
      </c>
    </row>
    <row r="12" spans="1:8">
      <c r="A12" s="5" t="s">
        <v>23</v>
      </c>
      <c r="B12" s="6" t="s">
        <v>24</v>
      </c>
      <c r="C12" s="6" t="s">
        <v>25</v>
      </c>
    </row>
    <row r="14" spans="1:8" ht="24" customHeight="1">
      <c r="A14" s="1" t="s">
        <v>26</v>
      </c>
      <c r="B14" s="1" t="s">
        <v>27</v>
      </c>
    </row>
    <row r="15" spans="1:8">
      <c r="A15" s="2" t="s">
        <v>28</v>
      </c>
      <c r="B15" s="6" t="s">
        <v>29</v>
      </c>
    </row>
    <row r="16" spans="1:8">
      <c r="A16" s="2" t="s">
        <v>30</v>
      </c>
      <c r="B16" s="6" t="s">
        <v>31</v>
      </c>
    </row>
    <row r="17" spans="1:2">
      <c r="A17" s="2" t="s">
        <v>32</v>
      </c>
      <c r="B17" s="6" t="s">
        <v>33</v>
      </c>
    </row>
    <row r="18" spans="1:2">
      <c r="A18" s="2" t="s">
        <v>34</v>
      </c>
      <c r="B18" s="6" t="s">
        <v>35</v>
      </c>
    </row>
    <row r="19" spans="1:2">
      <c r="A19" s="2" t="s">
        <v>36</v>
      </c>
      <c r="B19" s="6" t="s">
        <v>37</v>
      </c>
    </row>
    <row r="20" spans="1:2">
      <c r="A20" s="2" t="s">
        <v>38</v>
      </c>
      <c r="B20" s="6" t="s">
        <v>39</v>
      </c>
    </row>
    <row r="21" spans="1:2">
      <c r="A21" s="2" t="s">
        <v>40</v>
      </c>
      <c r="B21" s="6" t="s">
        <v>41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6"/>
  <sheetViews>
    <sheetView tabSelected="1" workbookViewId="0">
      <selection activeCell="C3" sqref="C3"/>
    </sheetView>
  </sheetViews>
  <sheetFormatPr defaultRowHeight="13.8"/>
  <cols>
    <col min="1" max="1" width="22" customWidth="1"/>
    <col min="2" max="3" width="20" customWidth="1"/>
    <col min="4" max="4" width="22" customWidth="1"/>
    <col min="5" max="5" width="20" customWidth="1"/>
    <col min="6" max="14" width="14" customWidth="1"/>
    <col min="16" max="16" width="28" customWidth="1"/>
    <col min="17" max="20" width="16" customWidth="1"/>
  </cols>
  <sheetData>
    <row r="1" spans="1:20" ht="27.15" customHeight="1">
      <c r="A1" s="22" t="s">
        <v>42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3" spans="1:20" ht="24" customHeight="1">
      <c r="A3" s="2" t="s">
        <v>43</v>
      </c>
      <c r="B3" s="19">
        <v>46216</v>
      </c>
      <c r="D3" s="2" t="s">
        <v>44</v>
      </c>
      <c r="E3" s="19">
        <v>46216</v>
      </c>
      <c r="P3" s="1" t="s">
        <v>45</v>
      </c>
      <c r="Q3" s="1" t="s">
        <v>46</v>
      </c>
      <c r="R3" s="1" t="s">
        <v>47</v>
      </c>
      <c r="S3" s="1" t="s">
        <v>48</v>
      </c>
      <c r="T3" s="1" t="s">
        <v>49</v>
      </c>
    </row>
    <row r="4" spans="1:20">
      <c r="A4" s="2" t="s">
        <v>50</v>
      </c>
      <c r="B4" s="25" t="str">
        <f>Lists!B4</f>
        <v>My Coffee Business</v>
      </c>
      <c r="C4" s="23"/>
      <c r="D4" s="23"/>
      <c r="E4" s="23"/>
      <c r="P4" s="11" t="str">
        <f>'Menu &amp; Pricing'!A5</f>
        <v>Americano - Regular</v>
      </c>
      <c r="Q4" s="18">
        <f>IF(P4="","",SUMIFS(Orders!$H$5:$H$154,Orders!$F$5:$F$154,P4,Orders!$B$5:$B$154,"&gt;="&amp;$B$3,Orders!$B$5:$B$154,"&lt;="&amp;$E$3,Orders!$Q$5:$Q$154,"Paid",Orders!$R$5:$R$154,"Completed"))</f>
        <v>0</v>
      </c>
      <c r="R4" s="14">
        <f>IF(P4="","",SUMIFS(Orders!$M$5:$M$154,Orders!$F$5:$F$154,P4,Orders!$B$5:$B$154,"&gt;="&amp;$B$3,Orders!$B$5:$B$154,"&lt;="&amp;$E$3,Orders!$Q$5:$Q$154,"Paid",Orders!$R$5:$R$154,"Completed"))</f>
        <v>0</v>
      </c>
      <c r="S4" s="14">
        <f>IF(P4="","",SUMIFS(Orders!$O$5:$O$154,Orders!$F$5:$F$154,P4,Orders!$B$5:$B$154,"&gt;="&amp;$B$3,Orders!$B$5:$B$154,"&lt;="&amp;$E$3,Orders!$Q$5:$Q$154,"Paid",Orders!$R$5:$R$154,"Completed"))</f>
        <v>0</v>
      </c>
      <c r="T4" s="9">
        <f t="shared" ref="T4:T35" si="0">IF(P4="","",R4-S4)</f>
        <v>0</v>
      </c>
    </row>
    <row r="5" spans="1:20">
      <c r="P5" s="11" t="str">
        <f>'Menu &amp; Pricing'!A6</f>
        <v>Cafe Latte - Regular</v>
      </c>
      <c r="Q5" s="18">
        <f>IF(P5="","",SUMIFS(Orders!$H$5:$H$154,Orders!$F$5:$F$154,P5,Orders!$B$5:$B$154,"&gt;="&amp;$B$3,Orders!$B$5:$B$154,"&lt;="&amp;$E$3,Orders!$Q$5:$Q$154,"Paid",Orders!$R$5:$R$154,"Completed"))</f>
        <v>0</v>
      </c>
      <c r="R5" s="14">
        <f>IF(P5="","",SUMIFS(Orders!$M$5:$M$154,Orders!$F$5:$F$154,P5,Orders!$B$5:$B$154,"&gt;="&amp;$B$3,Orders!$B$5:$B$154,"&lt;="&amp;$E$3,Orders!$Q$5:$Q$154,"Paid",Orders!$R$5:$R$154,"Completed"))</f>
        <v>0</v>
      </c>
      <c r="S5" s="14">
        <f>IF(P5="","",SUMIFS(Orders!$O$5:$O$154,Orders!$F$5:$F$154,P5,Orders!$B$5:$B$154,"&gt;="&amp;$B$3,Orders!$B$5:$B$154,"&lt;="&amp;$E$3,Orders!$Q$5:$Q$154,"Paid",Orders!$R$5:$R$154,"Completed"))</f>
        <v>0</v>
      </c>
      <c r="T5" s="9">
        <f t="shared" si="0"/>
        <v>0</v>
      </c>
    </row>
    <row r="6" spans="1:20" ht="17.55" customHeight="1">
      <c r="A6" s="26" t="s">
        <v>28</v>
      </c>
      <c r="B6" s="23"/>
      <c r="C6" s="23"/>
      <c r="D6" s="26" t="s">
        <v>30</v>
      </c>
      <c r="E6" s="23"/>
      <c r="F6" s="23"/>
      <c r="G6" s="26" t="s">
        <v>32</v>
      </c>
      <c r="H6" s="23"/>
      <c r="I6" s="23"/>
      <c r="J6" s="26" t="s">
        <v>34</v>
      </c>
      <c r="K6" s="23"/>
      <c r="L6" s="23"/>
      <c r="P6" s="11" t="str">
        <f>'Menu &amp; Pricing'!A7</f>
        <v>Spanish Latte - Regular</v>
      </c>
      <c r="Q6" s="18">
        <f>IF(P6="","",SUMIFS(Orders!$H$5:$H$154,Orders!$F$5:$F$154,P6,Orders!$B$5:$B$154,"&gt;="&amp;$B$3,Orders!$B$5:$B$154,"&lt;="&amp;$E$3,Orders!$Q$5:$Q$154,"Paid",Orders!$R$5:$R$154,"Completed"))</f>
        <v>0</v>
      </c>
      <c r="R6" s="14">
        <f>IF(P6="","",SUMIFS(Orders!$M$5:$M$154,Orders!$F$5:$F$154,P6,Orders!$B$5:$B$154,"&gt;="&amp;$B$3,Orders!$B$5:$B$154,"&lt;="&amp;$E$3,Orders!$Q$5:$Q$154,"Paid",Orders!$R$5:$R$154,"Completed"))</f>
        <v>0</v>
      </c>
      <c r="S6" s="14">
        <f>IF(P6="","",SUMIFS(Orders!$O$5:$O$154,Orders!$F$5:$F$154,P6,Orders!$B$5:$B$154,"&gt;="&amp;$B$3,Orders!$B$5:$B$154,"&lt;="&amp;$E$3,Orders!$Q$5:$Q$154,"Paid",Orders!$R$5:$R$154,"Completed"))</f>
        <v>0</v>
      </c>
      <c r="T6" s="9">
        <f t="shared" si="0"/>
        <v>0</v>
      </c>
    </row>
    <row r="7" spans="1:20">
      <c r="A7" s="27">
        <f>SUMIFS(Orders!$K$5:$K$154,Orders!$B$5:$B$154,"&gt;="&amp;$B$3,Orders!$B$5:$B$154,"&lt;="&amp;$E$3,Orders!$Q$5:$Q$154,"Paid",Orders!$R$5:$R$154,"Completed")</f>
        <v>0</v>
      </c>
      <c r="B7" s="23"/>
      <c r="C7" s="23"/>
      <c r="D7" s="27">
        <f>SUMIFS(Orders!$M$5:$M$154,Orders!$B$5:$B$154,"&gt;="&amp;$B$3,Orders!$B$5:$B$154,"&lt;="&amp;$E$3,Orders!$Q$5:$Q$154,"Paid",Orders!$R$5:$R$154,"Completed")</f>
        <v>0</v>
      </c>
      <c r="E7" s="23"/>
      <c r="F7" s="23"/>
      <c r="G7" s="27">
        <f>SUMIFS(Orders!$O$5:$O$154,Orders!$B$5:$B$154,"&gt;="&amp;$B$3,Orders!$B$5:$B$154,"&lt;="&amp;$E$3,Orders!$Q$5:$Q$154,"Paid",Orders!$R$5:$R$154,"Completed")</f>
        <v>0</v>
      </c>
      <c r="H7" s="23"/>
      <c r="I7" s="23"/>
      <c r="J7" s="27">
        <f>SUMIFS(Expenses!$J$5:$J$104,Expenses!$B$5:$B$104,"&gt;="&amp;$B$3,Expenses!$B$5:$B$104,"&lt;="&amp;$E$3,Expenses!$L$5:$L$104,"Operating Expense",Expenses!$M$5:$M$104,"Paid")</f>
        <v>0</v>
      </c>
      <c r="K7" s="23"/>
      <c r="L7" s="23"/>
      <c r="P7" s="11" t="str">
        <f>'Menu &amp; Pricing'!A8</f>
        <v>Caramel Macchiato - Regular</v>
      </c>
      <c r="Q7" s="18">
        <f>IF(P7="","",SUMIFS(Orders!$H$5:$H$154,Orders!$F$5:$F$154,P7,Orders!$B$5:$B$154,"&gt;="&amp;$B$3,Orders!$B$5:$B$154,"&lt;="&amp;$E$3,Orders!$Q$5:$Q$154,"Paid",Orders!$R$5:$R$154,"Completed"))</f>
        <v>0</v>
      </c>
      <c r="R7" s="14">
        <f>IF(P7="","",SUMIFS(Orders!$M$5:$M$154,Orders!$F$5:$F$154,P7,Orders!$B$5:$B$154,"&gt;="&amp;$B$3,Orders!$B$5:$B$154,"&lt;="&amp;$E$3,Orders!$Q$5:$Q$154,"Paid",Orders!$R$5:$R$154,"Completed"))</f>
        <v>0</v>
      </c>
      <c r="S7" s="14">
        <f>IF(P7="","",SUMIFS(Orders!$O$5:$O$154,Orders!$F$5:$F$154,P7,Orders!$B$5:$B$154,"&gt;="&amp;$B$3,Orders!$B$5:$B$154,"&lt;="&amp;$E$3,Orders!$Q$5:$Q$154,"Paid",Orders!$R$5:$R$154,"Completed"))</f>
        <v>0</v>
      </c>
      <c r="T7" s="9">
        <f t="shared" si="0"/>
        <v>0</v>
      </c>
    </row>
    <row r="8" spans="1:20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P8" s="11" t="str">
        <f>'Menu &amp; Pricing'!A9</f>
        <v>Matcha Latte - Regular</v>
      </c>
      <c r="Q8" s="18">
        <f>IF(P8="","",SUMIFS(Orders!$H$5:$H$154,Orders!$F$5:$F$154,P8,Orders!$B$5:$B$154,"&gt;="&amp;$B$3,Orders!$B$5:$B$154,"&lt;="&amp;$E$3,Orders!$Q$5:$Q$154,"Paid",Orders!$R$5:$R$154,"Completed"))</f>
        <v>0</v>
      </c>
      <c r="R8" s="14">
        <f>IF(P8="","",SUMIFS(Orders!$M$5:$M$154,Orders!$F$5:$F$154,P8,Orders!$B$5:$B$154,"&gt;="&amp;$B$3,Orders!$B$5:$B$154,"&lt;="&amp;$E$3,Orders!$Q$5:$Q$154,"Paid",Orders!$R$5:$R$154,"Completed"))</f>
        <v>0</v>
      </c>
      <c r="S8" s="14">
        <f>IF(P8="","",SUMIFS(Orders!$O$5:$O$154,Orders!$F$5:$F$154,P8,Orders!$B$5:$B$154,"&gt;="&amp;$B$3,Orders!$B$5:$B$154,"&lt;="&amp;$E$3,Orders!$Q$5:$Q$154,"Paid",Orders!$R$5:$R$154,"Completed"))</f>
        <v>0</v>
      </c>
      <c r="T8" s="9">
        <f t="shared" si="0"/>
        <v>0</v>
      </c>
    </row>
    <row r="9" spans="1:20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P9" s="11" t="str">
        <f>'Menu &amp; Pricing'!A10</f>
        <v>Chocolate Drink - Regular</v>
      </c>
      <c r="Q9" s="18">
        <f>IF(P9="","",SUMIFS(Orders!$H$5:$H$154,Orders!$F$5:$F$154,P9,Orders!$B$5:$B$154,"&gt;="&amp;$B$3,Orders!$B$5:$B$154,"&lt;="&amp;$E$3,Orders!$Q$5:$Q$154,"Paid",Orders!$R$5:$R$154,"Completed"))</f>
        <v>0</v>
      </c>
      <c r="R9" s="14">
        <f>IF(P9="","",SUMIFS(Orders!$M$5:$M$154,Orders!$F$5:$F$154,P9,Orders!$B$5:$B$154,"&gt;="&amp;$B$3,Orders!$B$5:$B$154,"&lt;="&amp;$E$3,Orders!$Q$5:$Q$154,"Paid",Orders!$R$5:$R$154,"Completed"))</f>
        <v>0</v>
      </c>
      <c r="S9" s="14">
        <f>IF(P9="","",SUMIFS(Orders!$O$5:$O$154,Orders!$F$5:$F$154,P9,Orders!$B$5:$B$154,"&gt;="&amp;$B$3,Orders!$B$5:$B$154,"&lt;="&amp;$E$3,Orders!$Q$5:$Q$154,"Paid",Orders!$R$5:$R$154,"Completed"))</f>
        <v>0</v>
      </c>
      <c r="T9" s="9">
        <f t="shared" si="0"/>
        <v>0</v>
      </c>
    </row>
    <row r="10" spans="1:20">
      <c r="P10" s="11" t="str">
        <f>'Menu &amp; Pricing'!A11</f>
        <v>Croissant</v>
      </c>
      <c r="Q10" s="18">
        <f>IF(P10="","",SUMIFS(Orders!$H$5:$H$154,Orders!$F$5:$F$154,P10,Orders!$B$5:$B$154,"&gt;="&amp;$B$3,Orders!$B$5:$B$154,"&lt;="&amp;$E$3,Orders!$Q$5:$Q$154,"Paid",Orders!$R$5:$R$154,"Completed"))</f>
        <v>0</v>
      </c>
      <c r="R10" s="14">
        <f>IF(P10="","",SUMIFS(Orders!$M$5:$M$154,Orders!$F$5:$F$154,P10,Orders!$B$5:$B$154,"&gt;="&amp;$B$3,Orders!$B$5:$B$154,"&lt;="&amp;$E$3,Orders!$Q$5:$Q$154,"Paid",Orders!$R$5:$R$154,"Completed"))</f>
        <v>0</v>
      </c>
      <c r="S10" s="14">
        <f>IF(P10="","",SUMIFS(Orders!$O$5:$O$154,Orders!$F$5:$F$154,P10,Orders!$B$5:$B$154,"&gt;="&amp;$B$3,Orders!$B$5:$B$154,"&lt;="&amp;$E$3,Orders!$Q$5:$Q$154,"Paid",Orders!$R$5:$R$154,"Completed"))</f>
        <v>0</v>
      </c>
      <c r="T10" s="9">
        <f t="shared" si="0"/>
        <v>0</v>
      </c>
    </row>
    <row r="11" spans="1:20" ht="17.55" customHeight="1">
      <c r="A11" s="26" t="s">
        <v>36</v>
      </c>
      <c r="B11" s="23"/>
      <c r="C11" s="23"/>
      <c r="D11" s="26" t="s">
        <v>38</v>
      </c>
      <c r="E11" s="23"/>
      <c r="F11" s="23"/>
      <c r="G11" s="26" t="s">
        <v>51</v>
      </c>
      <c r="H11" s="23"/>
      <c r="I11" s="23"/>
      <c r="J11" s="26" t="s">
        <v>52</v>
      </c>
      <c r="K11" s="23"/>
      <c r="L11" s="23"/>
      <c r="P11" s="11" t="str">
        <f>'Menu &amp; Pricing'!A12</f>
        <v>Extra Espresso Shot</v>
      </c>
      <c r="Q11" s="18">
        <f>IF(P11="","",SUMIFS(Orders!$H$5:$H$154,Orders!$F$5:$F$154,P11,Orders!$B$5:$B$154,"&gt;="&amp;$B$3,Orders!$B$5:$B$154,"&lt;="&amp;$E$3,Orders!$Q$5:$Q$154,"Paid",Orders!$R$5:$R$154,"Completed"))</f>
        <v>0</v>
      </c>
      <c r="R11" s="14">
        <f>IF(P11="","",SUMIFS(Orders!$M$5:$M$154,Orders!$F$5:$F$154,P11,Orders!$B$5:$B$154,"&gt;="&amp;$B$3,Orders!$B$5:$B$154,"&lt;="&amp;$E$3,Orders!$Q$5:$Q$154,"Paid",Orders!$R$5:$R$154,"Completed"))</f>
        <v>0</v>
      </c>
      <c r="S11" s="14">
        <f>IF(P11="","",SUMIFS(Orders!$O$5:$O$154,Orders!$F$5:$F$154,P11,Orders!$B$5:$B$154,"&gt;="&amp;$B$3,Orders!$B$5:$B$154,"&lt;="&amp;$E$3,Orders!$Q$5:$Q$154,"Paid",Orders!$R$5:$R$154,"Completed"))</f>
        <v>0</v>
      </c>
      <c r="T11" s="9">
        <f t="shared" si="0"/>
        <v>0</v>
      </c>
    </row>
    <row r="12" spans="1:20">
      <c r="A12" s="27">
        <f>D7-G7</f>
        <v>0</v>
      </c>
      <c r="B12" s="23"/>
      <c r="C12" s="23"/>
      <c r="D12" s="27">
        <f>A12-J7</f>
        <v>0</v>
      </c>
      <c r="E12" s="23"/>
      <c r="F12" s="23"/>
      <c r="G12" s="28">
        <f>SUMIFS(Orders!$U$5:$U$154,Orders!$B$5:$B$154,"&gt;="&amp;$B$3,Orders!$B$5:$B$154,"&lt;="&amp;$E$3)</f>
        <v>0</v>
      </c>
      <c r="H12" s="23"/>
      <c r="I12" s="23"/>
      <c r="J12" s="28">
        <f>SUMIFS(Orders!$H$5:$H$154,Orders!$B$5:$B$154,"&gt;="&amp;$B$3,Orders!$B$5:$B$154,"&lt;="&amp;$E$3,Orders!$Q$5:$Q$154,"Paid",Orders!$R$5:$R$154,"Completed")</f>
        <v>0</v>
      </c>
      <c r="K12" s="23"/>
      <c r="L12" s="23"/>
      <c r="P12" s="11">
        <f>'Menu &amp; Pricing'!A13</f>
        <v>0</v>
      </c>
      <c r="Q12" s="18">
        <f>IF(P12="","",SUMIFS(Orders!$H$5:$H$154,Orders!$F$5:$F$154,P12,Orders!$B$5:$B$154,"&gt;="&amp;$B$3,Orders!$B$5:$B$154,"&lt;="&amp;$E$3,Orders!$Q$5:$Q$154,"Paid",Orders!$R$5:$R$154,"Completed"))</f>
        <v>0</v>
      </c>
      <c r="R12" s="14">
        <f>IF(P12="","",SUMIFS(Orders!$M$5:$M$154,Orders!$F$5:$F$154,P12,Orders!$B$5:$B$154,"&gt;="&amp;$B$3,Orders!$B$5:$B$154,"&lt;="&amp;$E$3,Orders!$Q$5:$Q$154,"Paid",Orders!$R$5:$R$154,"Completed"))</f>
        <v>0</v>
      </c>
      <c r="S12" s="14">
        <f>IF(P12="","",SUMIFS(Orders!$O$5:$O$154,Orders!$F$5:$F$154,P12,Orders!$B$5:$B$154,"&gt;="&amp;$B$3,Orders!$B$5:$B$154,"&lt;="&amp;$E$3,Orders!$Q$5:$Q$154,"Paid",Orders!$R$5:$R$154,"Completed"))</f>
        <v>0</v>
      </c>
      <c r="T12" s="9">
        <f t="shared" si="0"/>
        <v>0</v>
      </c>
    </row>
    <row r="13" spans="1:20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P13" s="11">
        <f>'Menu &amp; Pricing'!A14</f>
        <v>0</v>
      </c>
      <c r="Q13" s="18">
        <f>IF(P13="","",SUMIFS(Orders!$H$5:$H$154,Orders!$F$5:$F$154,P13,Orders!$B$5:$B$154,"&gt;="&amp;$B$3,Orders!$B$5:$B$154,"&lt;="&amp;$E$3,Orders!$Q$5:$Q$154,"Paid",Orders!$R$5:$R$154,"Completed"))</f>
        <v>0</v>
      </c>
      <c r="R13" s="14">
        <f>IF(P13="","",SUMIFS(Orders!$M$5:$M$154,Orders!$F$5:$F$154,P13,Orders!$B$5:$B$154,"&gt;="&amp;$B$3,Orders!$B$5:$B$154,"&lt;="&amp;$E$3,Orders!$Q$5:$Q$154,"Paid",Orders!$R$5:$R$154,"Completed"))</f>
        <v>0</v>
      </c>
      <c r="S13" s="14">
        <f>IF(P13="","",SUMIFS(Orders!$O$5:$O$154,Orders!$F$5:$F$154,P13,Orders!$B$5:$B$154,"&gt;="&amp;$B$3,Orders!$B$5:$B$154,"&lt;="&amp;$E$3,Orders!$Q$5:$Q$154,"Paid",Orders!$R$5:$R$154,"Completed"))</f>
        <v>0</v>
      </c>
      <c r="T13" s="9">
        <f t="shared" si="0"/>
        <v>0</v>
      </c>
    </row>
    <row r="14" spans="1:20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P14" s="11">
        <f>'Menu &amp; Pricing'!A15</f>
        <v>0</v>
      </c>
      <c r="Q14" s="18">
        <f>IF(P14="","",SUMIFS(Orders!$H$5:$H$154,Orders!$F$5:$F$154,P14,Orders!$B$5:$B$154,"&gt;="&amp;$B$3,Orders!$B$5:$B$154,"&lt;="&amp;$E$3,Orders!$Q$5:$Q$154,"Paid",Orders!$R$5:$R$154,"Completed"))</f>
        <v>0</v>
      </c>
      <c r="R14" s="14">
        <f>IF(P14="","",SUMIFS(Orders!$M$5:$M$154,Orders!$F$5:$F$154,P14,Orders!$B$5:$B$154,"&gt;="&amp;$B$3,Orders!$B$5:$B$154,"&lt;="&amp;$E$3,Orders!$Q$5:$Q$154,"Paid",Orders!$R$5:$R$154,"Completed"))</f>
        <v>0</v>
      </c>
      <c r="S14" s="14">
        <f>IF(P14="","",SUMIFS(Orders!$O$5:$O$154,Orders!$F$5:$F$154,P14,Orders!$B$5:$B$154,"&gt;="&amp;$B$3,Orders!$B$5:$B$154,"&lt;="&amp;$E$3,Orders!$Q$5:$Q$154,"Paid",Orders!$R$5:$R$154,"Completed"))</f>
        <v>0</v>
      </c>
      <c r="T14" s="9">
        <f t="shared" si="0"/>
        <v>0</v>
      </c>
    </row>
    <row r="15" spans="1:20">
      <c r="P15" s="11">
        <f>'Menu &amp; Pricing'!A16</f>
        <v>0</v>
      </c>
      <c r="Q15" s="18">
        <f>IF(P15="","",SUMIFS(Orders!$H$5:$H$154,Orders!$F$5:$F$154,P15,Orders!$B$5:$B$154,"&gt;="&amp;$B$3,Orders!$B$5:$B$154,"&lt;="&amp;$E$3,Orders!$Q$5:$Q$154,"Paid",Orders!$R$5:$R$154,"Completed"))</f>
        <v>0</v>
      </c>
      <c r="R15" s="14">
        <f>IF(P15="","",SUMIFS(Orders!$M$5:$M$154,Orders!$F$5:$F$154,P15,Orders!$B$5:$B$154,"&gt;="&amp;$B$3,Orders!$B$5:$B$154,"&lt;="&amp;$E$3,Orders!$Q$5:$Q$154,"Paid",Orders!$R$5:$R$154,"Completed"))</f>
        <v>0</v>
      </c>
      <c r="S15" s="14">
        <f>IF(P15="","",SUMIFS(Orders!$O$5:$O$154,Orders!$F$5:$F$154,P15,Orders!$B$5:$B$154,"&gt;="&amp;$B$3,Orders!$B$5:$B$154,"&lt;="&amp;$E$3,Orders!$Q$5:$Q$154,"Paid",Orders!$R$5:$R$154,"Completed"))</f>
        <v>0</v>
      </c>
      <c r="T15" s="9">
        <f t="shared" si="0"/>
        <v>0</v>
      </c>
    </row>
    <row r="16" spans="1:20" ht="17.55" customHeight="1">
      <c r="A16" s="29" t="s">
        <v>53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P16" s="11">
        <f>'Menu &amp; Pricing'!A17</f>
        <v>0</v>
      </c>
      <c r="Q16" s="18">
        <f>IF(P16="","",SUMIFS(Orders!$H$5:$H$154,Orders!$F$5:$F$154,P16,Orders!$B$5:$B$154,"&gt;="&amp;$B$3,Orders!$B$5:$B$154,"&lt;="&amp;$E$3,Orders!$Q$5:$Q$154,"Paid",Orders!$R$5:$R$154,"Completed"))</f>
        <v>0</v>
      </c>
      <c r="R16" s="14">
        <f>IF(P16="","",SUMIFS(Orders!$M$5:$M$154,Orders!$F$5:$F$154,P16,Orders!$B$5:$B$154,"&gt;="&amp;$B$3,Orders!$B$5:$B$154,"&lt;="&amp;$E$3,Orders!$Q$5:$Q$154,"Paid",Orders!$R$5:$R$154,"Completed"))</f>
        <v>0</v>
      </c>
      <c r="S16" s="14">
        <f>IF(P16="","",SUMIFS(Orders!$O$5:$O$154,Orders!$F$5:$F$154,P16,Orders!$B$5:$B$154,"&gt;="&amp;$B$3,Orders!$B$5:$B$154,"&lt;="&amp;$E$3,Orders!$Q$5:$Q$154,"Paid",Orders!$R$5:$R$154,"Completed"))</f>
        <v>0</v>
      </c>
      <c r="T16" s="9">
        <f t="shared" si="0"/>
        <v>0</v>
      </c>
    </row>
    <row r="17" spans="1:24">
      <c r="P17" s="11">
        <f>'Menu &amp; Pricing'!A18</f>
        <v>0</v>
      </c>
      <c r="Q17" s="18">
        <f>IF(P17="","",SUMIFS(Orders!$H$5:$H$154,Orders!$F$5:$F$154,P17,Orders!$B$5:$B$154,"&gt;="&amp;$B$3,Orders!$B$5:$B$154,"&lt;="&amp;$E$3,Orders!$Q$5:$Q$154,"Paid",Orders!$R$5:$R$154,"Completed"))</f>
        <v>0</v>
      </c>
      <c r="R17" s="14">
        <f>IF(P17="","",SUMIFS(Orders!$M$5:$M$154,Orders!$F$5:$F$154,P17,Orders!$B$5:$B$154,"&gt;="&amp;$B$3,Orders!$B$5:$B$154,"&lt;="&amp;$E$3,Orders!$Q$5:$Q$154,"Paid",Orders!$R$5:$R$154,"Completed"))</f>
        <v>0</v>
      </c>
      <c r="S17" s="14">
        <f>IF(P17="","",SUMIFS(Orders!$O$5:$O$154,Orders!$F$5:$F$154,P17,Orders!$B$5:$B$154,"&gt;="&amp;$B$3,Orders!$B$5:$B$154,"&lt;="&amp;$E$3,Orders!$Q$5:$Q$154,"Paid",Orders!$R$5:$R$154,"Completed"))</f>
        <v>0</v>
      </c>
      <c r="T17" s="9">
        <f t="shared" si="0"/>
        <v>0</v>
      </c>
    </row>
    <row r="18" spans="1:24" ht="24" customHeight="1">
      <c r="A18" s="1" t="s">
        <v>54</v>
      </c>
      <c r="B18" s="1" t="s">
        <v>55</v>
      </c>
      <c r="D18" s="1" t="s">
        <v>54</v>
      </c>
      <c r="E18" s="1" t="s">
        <v>55</v>
      </c>
      <c r="P18" s="11">
        <f>'Menu &amp; Pricing'!A19</f>
        <v>0</v>
      </c>
      <c r="Q18" s="18">
        <f>IF(P18="","",SUMIFS(Orders!$H$5:$H$154,Orders!$F$5:$F$154,P18,Orders!$B$5:$B$154,"&gt;="&amp;$B$3,Orders!$B$5:$B$154,"&lt;="&amp;$E$3,Orders!$Q$5:$Q$154,"Paid",Orders!$R$5:$R$154,"Completed"))</f>
        <v>0</v>
      </c>
      <c r="R18" s="14">
        <f>IF(P18="","",SUMIFS(Orders!$M$5:$M$154,Orders!$F$5:$F$154,P18,Orders!$B$5:$B$154,"&gt;="&amp;$B$3,Orders!$B$5:$B$154,"&lt;="&amp;$E$3,Orders!$Q$5:$Q$154,"Paid",Orders!$R$5:$R$154,"Completed"))</f>
        <v>0</v>
      </c>
      <c r="S18" s="14">
        <f>IF(P18="","",SUMIFS(Orders!$O$5:$O$154,Orders!$F$5:$F$154,P18,Orders!$B$5:$B$154,"&gt;="&amp;$B$3,Orders!$B$5:$B$154,"&lt;="&amp;$E$3,Orders!$Q$5:$Q$154,"Paid",Orders!$R$5:$R$154,"Completed"))</f>
        <v>0</v>
      </c>
      <c r="T18" s="9">
        <f t="shared" si="0"/>
        <v>0</v>
      </c>
    </row>
    <row r="19" spans="1:24">
      <c r="A19" s="2" t="s">
        <v>56</v>
      </c>
      <c r="B19" s="11" t="str">
        <f>IF(MAX($Q$4:$Q$53)=0,"No completed sales",INDEX($P$4:$P$53,MATCH(MAX($Q$4:$Q$53),$Q$4:$Q$53,0)))</f>
        <v>No completed sales</v>
      </c>
      <c r="D19" s="2" t="s">
        <v>57</v>
      </c>
      <c r="E19" s="20">
        <f>IFERROR(A12/D7,0)</f>
        <v>0</v>
      </c>
      <c r="P19" s="11">
        <f>'Menu &amp; Pricing'!A20</f>
        <v>0</v>
      </c>
      <c r="Q19" s="18">
        <f>IF(P19="","",SUMIFS(Orders!$H$5:$H$154,Orders!$F$5:$F$154,P19,Orders!$B$5:$B$154,"&gt;="&amp;$B$3,Orders!$B$5:$B$154,"&lt;="&amp;$E$3,Orders!$Q$5:$Q$154,"Paid",Orders!$R$5:$R$154,"Completed"))</f>
        <v>0</v>
      </c>
      <c r="R19" s="14">
        <f>IF(P19="","",SUMIFS(Orders!$M$5:$M$154,Orders!$F$5:$F$154,P19,Orders!$B$5:$B$154,"&gt;="&amp;$B$3,Orders!$B$5:$B$154,"&lt;="&amp;$E$3,Orders!$Q$5:$Q$154,"Paid",Orders!$R$5:$R$154,"Completed"))</f>
        <v>0</v>
      </c>
      <c r="S19" s="14">
        <f>IF(P19="","",SUMIFS(Orders!$O$5:$O$154,Orders!$F$5:$F$154,P19,Orders!$B$5:$B$154,"&gt;="&amp;$B$3,Orders!$B$5:$B$154,"&lt;="&amp;$E$3,Orders!$Q$5:$Q$154,"Paid",Orders!$R$5:$R$154,"Completed"))</f>
        <v>0</v>
      </c>
      <c r="T19" s="9">
        <f t="shared" si="0"/>
        <v>0</v>
      </c>
    </row>
    <row r="20" spans="1:24">
      <c r="A20" s="2" t="s">
        <v>58</v>
      </c>
      <c r="B20" s="14">
        <f>IFERROR(D7/G12,0)</f>
        <v>0</v>
      </c>
      <c r="D20" s="2" t="s">
        <v>40</v>
      </c>
      <c r="E20" s="14">
        <f>SUMIFS(Expenses!$J$5:$J$104,Expenses!$B$5:$B$104,"&gt;="&amp;$B$3,Expenses!$B$5:$B$104,"&lt;="&amp;$E$3,Expenses!$M$5:$M$104,"Paid")</f>
        <v>0</v>
      </c>
      <c r="P20" s="11">
        <f>'Menu &amp; Pricing'!A21</f>
        <v>0</v>
      </c>
      <c r="Q20" s="18">
        <f>IF(P20="","",SUMIFS(Orders!$H$5:$H$154,Orders!$F$5:$F$154,P20,Orders!$B$5:$B$154,"&gt;="&amp;$B$3,Orders!$B$5:$B$154,"&lt;="&amp;$E$3,Orders!$Q$5:$Q$154,"Paid",Orders!$R$5:$R$154,"Completed"))</f>
        <v>0</v>
      </c>
      <c r="R20" s="14">
        <f>IF(P20="","",SUMIFS(Orders!$M$5:$M$154,Orders!$F$5:$F$154,P20,Orders!$B$5:$B$154,"&gt;="&amp;$B$3,Orders!$B$5:$B$154,"&lt;="&amp;$E$3,Orders!$Q$5:$Q$154,"Paid",Orders!$R$5:$R$154,"Completed"))</f>
        <v>0</v>
      </c>
      <c r="S20" s="14">
        <f>IF(P20="","",SUMIFS(Orders!$O$5:$O$154,Orders!$F$5:$F$154,P20,Orders!$B$5:$B$154,"&gt;="&amp;$B$3,Orders!$B$5:$B$154,"&lt;="&amp;$E$3,Orders!$Q$5:$Q$154,"Paid",Orders!$R$5:$R$154,"Completed"))</f>
        <v>0</v>
      </c>
      <c r="T20" s="9">
        <f t="shared" si="0"/>
        <v>0</v>
      </c>
    </row>
    <row r="21" spans="1:24">
      <c r="A21" s="2" t="s">
        <v>59</v>
      </c>
      <c r="B21" s="14">
        <f>SUMIFS(Orders!$M$5:$M$154,Orders!$B$5:$B$154,"&gt;="&amp;$B$3,Orders!$B$5:$B$154,"&lt;="&amp;$E$3,Orders!$P$5:$P$154,"Cash",Orders!$Q$5:$Q$154,"Paid",Orders!$R$5:$R$154,"Completed")</f>
        <v>0</v>
      </c>
      <c r="D21" s="2" t="s">
        <v>60</v>
      </c>
      <c r="E21" s="18">
        <f>MAX(0,E3-B3+1)</f>
        <v>1</v>
      </c>
      <c r="P21" s="11">
        <f>'Menu &amp; Pricing'!A22</f>
        <v>0</v>
      </c>
      <c r="Q21" s="18">
        <f>IF(P21="","",SUMIFS(Orders!$H$5:$H$154,Orders!$F$5:$F$154,P21,Orders!$B$5:$B$154,"&gt;="&amp;$B$3,Orders!$B$5:$B$154,"&lt;="&amp;$E$3,Orders!$Q$5:$Q$154,"Paid",Orders!$R$5:$R$154,"Completed"))</f>
        <v>0</v>
      </c>
      <c r="R21" s="14">
        <f>IF(P21="","",SUMIFS(Orders!$M$5:$M$154,Orders!$F$5:$F$154,P21,Orders!$B$5:$B$154,"&gt;="&amp;$B$3,Orders!$B$5:$B$154,"&lt;="&amp;$E$3,Orders!$Q$5:$Q$154,"Paid",Orders!$R$5:$R$154,"Completed"))</f>
        <v>0</v>
      </c>
      <c r="S21" s="14">
        <f>IF(P21="","",SUMIFS(Orders!$O$5:$O$154,Orders!$F$5:$F$154,P21,Orders!$B$5:$B$154,"&gt;="&amp;$B$3,Orders!$B$5:$B$154,"&lt;="&amp;$E$3,Orders!$Q$5:$Q$154,"Paid",Orders!$R$5:$R$154,"Completed"))</f>
        <v>0</v>
      </c>
      <c r="T21" s="9">
        <f t="shared" si="0"/>
        <v>0</v>
      </c>
    </row>
    <row r="22" spans="1:24">
      <c r="A22" s="2" t="s">
        <v>61</v>
      </c>
      <c r="B22" s="14">
        <f>D7-B21</f>
        <v>0</v>
      </c>
      <c r="D22" s="2" t="s">
        <v>62</v>
      </c>
      <c r="E22" s="14">
        <f>B21-E20</f>
        <v>0</v>
      </c>
      <c r="P22" s="11">
        <f>'Menu &amp; Pricing'!A23</f>
        <v>0</v>
      </c>
      <c r="Q22" s="18">
        <f>IF(P22="","",SUMIFS(Orders!$H$5:$H$154,Orders!$F$5:$F$154,P22,Orders!$B$5:$B$154,"&gt;="&amp;$B$3,Orders!$B$5:$B$154,"&lt;="&amp;$E$3,Orders!$Q$5:$Q$154,"Paid",Orders!$R$5:$R$154,"Completed"))</f>
        <v>0</v>
      </c>
      <c r="R22" s="14">
        <f>IF(P22="","",SUMIFS(Orders!$M$5:$M$154,Orders!$F$5:$F$154,P22,Orders!$B$5:$B$154,"&gt;="&amp;$B$3,Orders!$B$5:$B$154,"&lt;="&amp;$E$3,Orders!$Q$5:$Q$154,"Paid",Orders!$R$5:$R$154,"Completed"))</f>
        <v>0</v>
      </c>
      <c r="S22" s="14">
        <f>IF(P22="","",SUMIFS(Orders!$O$5:$O$154,Orders!$F$5:$F$154,P22,Orders!$B$5:$B$154,"&gt;="&amp;$B$3,Orders!$B$5:$B$154,"&lt;="&amp;$E$3,Orders!$Q$5:$Q$154,"Paid",Orders!$R$5:$R$154,"Completed"))</f>
        <v>0</v>
      </c>
      <c r="T22" s="9">
        <f t="shared" si="0"/>
        <v>0</v>
      </c>
    </row>
    <row r="23" spans="1:24">
      <c r="P23" s="11">
        <f>'Menu &amp; Pricing'!A24</f>
        <v>0</v>
      </c>
      <c r="Q23" s="18">
        <f>IF(P23="","",SUMIFS(Orders!$H$5:$H$154,Orders!$F$5:$F$154,P23,Orders!$B$5:$B$154,"&gt;="&amp;$B$3,Orders!$B$5:$B$154,"&lt;="&amp;$E$3,Orders!$Q$5:$Q$154,"Paid",Orders!$R$5:$R$154,"Completed"))</f>
        <v>0</v>
      </c>
      <c r="R23" s="14">
        <f>IF(P23="","",SUMIFS(Orders!$M$5:$M$154,Orders!$F$5:$F$154,P23,Orders!$B$5:$B$154,"&gt;="&amp;$B$3,Orders!$B$5:$B$154,"&lt;="&amp;$E$3,Orders!$Q$5:$Q$154,"Paid",Orders!$R$5:$R$154,"Completed"))</f>
        <v>0</v>
      </c>
      <c r="S23" s="14">
        <f>IF(P23="","",SUMIFS(Orders!$O$5:$O$154,Orders!$F$5:$F$154,P23,Orders!$B$5:$B$154,"&gt;="&amp;$B$3,Orders!$B$5:$B$154,"&lt;="&amp;$E$3,Orders!$Q$5:$Q$154,"Paid",Orders!$R$5:$R$154,"Completed"))</f>
        <v>0</v>
      </c>
      <c r="T23" s="9">
        <f t="shared" si="0"/>
        <v>0</v>
      </c>
    </row>
    <row r="24" spans="1:24" ht="17.55" customHeight="1">
      <c r="A24" s="29" t="s">
        <v>63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P24" s="11">
        <f>'Menu &amp; Pricing'!A25</f>
        <v>0</v>
      </c>
      <c r="Q24" s="18">
        <f>IF(P24="","",SUMIFS(Orders!$H$5:$H$154,Orders!$F$5:$F$154,P24,Orders!$B$5:$B$154,"&gt;="&amp;$B$3,Orders!$B$5:$B$154,"&lt;="&amp;$E$3,Orders!$Q$5:$Q$154,"Paid",Orders!$R$5:$R$154,"Completed"))</f>
        <v>0</v>
      </c>
      <c r="R24" s="14">
        <f>IF(P24="","",SUMIFS(Orders!$M$5:$M$154,Orders!$F$5:$F$154,P24,Orders!$B$5:$B$154,"&gt;="&amp;$B$3,Orders!$B$5:$B$154,"&lt;="&amp;$E$3,Orders!$Q$5:$Q$154,"Paid",Orders!$R$5:$R$154,"Completed"))</f>
        <v>0</v>
      </c>
      <c r="S24" s="14">
        <f>IF(P24="","",SUMIFS(Orders!$O$5:$O$154,Orders!$F$5:$F$154,P24,Orders!$B$5:$B$154,"&gt;="&amp;$B$3,Orders!$B$5:$B$154,"&lt;="&amp;$E$3,Orders!$Q$5:$Q$154,"Paid",Orders!$R$5:$R$154,"Completed"))</f>
        <v>0</v>
      </c>
      <c r="T24" s="9">
        <f t="shared" si="0"/>
        <v>0</v>
      </c>
    </row>
    <row r="25" spans="1:24">
      <c r="P25" s="11">
        <f>'Menu &amp; Pricing'!A26</f>
        <v>0</v>
      </c>
      <c r="Q25" s="18">
        <f>IF(P25="","",SUMIFS(Orders!$H$5:$H$154,Orders!$F$5:$F$154,P25,Orders!$B$5:$B$154,"&gt;="&amp;$B$3,Orders!$B$5:$B$154,"&lt;="&amp;$E$3,Orders!$Q$5:$Q$154,"Paid",Orders!$R$5:$R$154,"Completed"))</f>
        <v>0</v>
      </c>
      <c r="R25" s="14">
        <f>IF(P25="","",SUMIFS(Orders!$M$5:$M$154,Orders!$F$5:$F$154,P25,Orders!$B$5:$B$154,"&gt;="&amp;$B$3,Orders!$B$5:$B$154,"&lt;="&amp;$E$3,Orders!$Q$5:$Q$154,"Paid",Orders!$R$5:$R$154,"Completed"))</f>
        <v>0</v>
      </c>
      <c r="S25" s="14">
        <f>IF(P25="","",SUMIFS(Orders!$O$5:$O$154,Orders!$F$5:$F$154,P25,Orders!$B$5:$B$154,"&gt;="&amp;$B$3,Orders!$B$5:$B$154,"&lt;="&amp;$E$3,Orders!$Q$5:$Q$154,"Paid",Orders!$R$5:$R$154,"Completed"))</f>
        <v>0</v>
      </c>
      <c r="T25" s="9">
        <f t="shared" si="0"/>
        <v>0</v>
      </c>
    </row>
    <row r="26" spans="1:24" ht="24" customHeight="1">
      <c r="A26" s="1" t="s">
        <v>64</v>
      </c>
      <c r="B26" s="1" t="s">
        <v>47</v>
      </c>
      <c r="C26" s="1" t="s">
        <v>65</v>
      </c>
      <c r="D26" s="1" t="s">
        <v>66</v>
      </c>
      <c r="P26" s="11">
        <f>'Menu &amp; Pricing'!A27</f>
        <v>0</v>
      </c>
      <c r="Q26" s="18">
        <f>IF(P26="","",SUMIFS(Orders!$H$5:$H$154,Orders!$F$5:$F$154,P26,Orders!$B$5:$B$154,"&gt;="&amp;$B$3,Orders!$B$5:$B$154,"&lt;="&amp;$E$3,Orders!$Q$5:$Q$154,"Paid",Orders!$R$5:$R$154,"Completed"))</f>
        <v>0</v>
      </c>
      <c r="R26" s="14">
        <f>IF(P26="","",SUMIFS(Orders!$M$5:$M$154,Orders!$F$5:$F$154,P26,Orders!$B$5:$B$154,"&gt;="&amp;$B$3,Orders!$B$5:$B$154,"&lt;="&amp;$E$3,Orders!$Q$5:$Q$154,"Paid",Orders!$R$5:$R$154,"Completed"))</f>
        <v>0</v>
      </c>
      <c r="S26" s="14">
        <f>IF(P26="","",SUMIFS(Orders!$O$5:$O$154,Orders!$F$5:$F$154,P26,Orders!$B$5:$B$154,"&gt;="&amp;$B$3,Orders!$B$5:$B$154,"&lt;="&amp;$E$3,Orders!$Q$5:$Q$154,"Paid",Orders!$R$5:$R$154,"Completed"))</f>
        <v>0</v>
      </c>
      <c r="T26" s="9">
        <f t="shared" si="0"/>
        <v>0</v>
      </c>
      <c r="U26" t="s">
        <v>64</v>
      </c>
      <c r="V26" t="s">
        <v>47</v>
      </c>
      <c r="W26" t="s">
        <v>65</v>
      </c>
      <c r="X26" t="s">
        <v>66</v>
      </c>
    </row>
    <row r="27" spans="1:24">
      <c r="A27" s="21">
        <f>$E$3-13</f>
        <v>46203</v>
      </c>
      <c r="B27" s="14">
        <f>SUMIFS(Orders!$M$5:$M$154,Orders!$B$5:$B$154,A27,Orders!$Q$5:$Q$154,"Paid",Orders!$R$5:$R$154,"Completed")</f>
        <v>0</v>
      </c>
      <c r="C27" s="14">
        <f>SUMIFS(Expenses!$J$5:$J$104,Expenses!$B$5:$B$104,A27,Expenses!$L$5:$L$104,"Operating Expense",Expenses!$M$5:$M$104,"Paid")</f>
        <v>0</v>
      </c>
      <c r="D27" s="14">
        <f>B27-SUMIFS(Orders!$O$5:$O$154,Orders!$B$5:$B$154,A27,Orders!$Q$5:$Q$154,"Paid",Orders!$R$5:$R$154,"Completed")-C27</f>
        <v>0</v>
      </c>
      <c r="P27" s="11">
        <f>'Menu &amp; Pricing'!A28</f>
        <v>0</v>
      </c>
      <c r="Q27" s="18">
        <f>IF(P27="","",SUMIFS(Orders!$H$5:$H$154,Orders!$F$5:$F$154,P27,Orders!$B$5:$B$154,"&gt;="&amp;$B$3,Orders!$B$5:$B$154,"&lt;="&amp;$E$3,Orders!$Q$5:$Q$154,"Paid",Orders!$R$5:$R$154,"Completed"))</f>
        <v>0</v>
      </c>
      <c r="R27" s="14">
        <f>IF(P27="","",SUMIFS(Orders!$M$5:$M$154,Orders!$F$5:$F$154,P27,Orders!$B$5:$B$154,"&gt;="&amp;$B$3,Orders!$B$5:$B$154,"&lt;="&amp;$E$3,Orders!$Q$5:$Q$154,"Paid",Orders!$R$5:$R$154,"Completed"))</f>
        <v>0</v>
      </c>
      <c r="S27" s="14">
        <f>IF(P27="","",SUMIFS(Orders!$O$5:$O$154,Orders!$F$5:$F$154,P27,Orders!$B$5:$B$154,"&gt;="&amp;$B$3,Orders!$B$5:$B$154,"&lt;="&amp;$E$3,Orders!$Q$5:$Q$154,"Paid",Orders!$R$5:$R$154,"Completed"))</f>
        <v>0</v>
      </c>
      <c r="T27" s="9">
        <f t="shared" si="0"/>
        <v>0</v>
      </c>
      <c r="U27" t="str">
        <f t="shared" ref="U27:U40" si="1">TEXT(A27,"mmm d")</f>
        <v>Jun 30</v>
      </c>
      <c r="V27">
        <f t="shared" ref="V27:V40" si="2">B27</f>
        <v>0</v>
      </c>
      <c r="W27">
        <f t="shared" ref="W27:W40" si="3">C27</f>
        <v>0</v>
      </c>
      <c r="X27">
        <f t="shared" ref="X27:X40" si="4">D27</f>
        <v>0</v>
      </c>
    </row>
    <row r="28" spans="1:24">
      <c r="A28" s="21">
        <f t="shared" ref="A28:A40" si="5">A27+1</f>
        <v>46204</v>
      </c>
      <c r="B28" s="14">
        <f>SUMIFS(Orders!$M$5:$M$154,Orders!$B$5:$B$154,A28,Orders!$Q$5:$Q$154,"Paid",Orders!$R$5:$R$154,"Completed")</f>
        <v>0</v>
      </c>
      <c r="C28" s="14">
        <f>SUMIFS(Expenses!$J$5:$J$104,Expenses!$B$5:$B$104,A28,Expenses!$L$5:$L$104,"Operating Expense",Expenses!$M$5:$M$104,"Paid")</f>
        <v>0</v>
      </c>
      <c r="D28" s="14">
        <f>B28-SUMIFS(Orders!$O$5:$O$154,Orders!$B$5:$B$154,A28,Orders!$Q$5:$Q$154,"Paid",Orders!$R$5:$R$154,"Completed")-C28</f>
        <v>0</v>
      </c>
      <c r="P28" s="11">
        <f>'Menu &amp; Pricing'!A29</f>
        <v>0</v>
      </c>
      <c r="Q28" s="18">
        <f>IF(P28="","",SUMIFS(Orders!$H$5:$H$154,Orders!$F$5:$F$154,P28,Orders!$B$5:$B$154,"&gt;="&amp;$B$3,Orders!$B$5:$B$154,"&lt;="&amp;$E$3,Orders!$Q$5:$Q$154,"Paid",Orders!$R$5:$R$154,"Completed"))</f>
        <v>0</v>
      </c>
      <c r="R28" s="14">
        <f>IF(P28="","",SUMIFS(Orders!$M$5:$M$154,Orders!$F$5:$F$154,P28,Orders!$B$5:$B$154,"&gt;="&amp;$B$3,Orders!$B$5:$B$154,"&lt;="&amp;$E$3,Orders!$Q$5:$Q$154,"Paid",Orders!$R$5:$R$154,"Completed"))</f>
        <v>0</v>
      </c>
      <c r="S28" s="14">
        <f>IF(P28="","",SUMIFS(Orders!$O$5:$O$154,Orders!$F$5:$F$154,P28,Orders!$B$5:$B$154,"&gt;="&amp;$B$3,Orders!$B$5:$B$154,"&lt;="&amp;$E$3,Orders!$Q$5:$Q$154,"Paid",Orders!$R$5:$R$154,"Completed"))</f>
        <v>0</v>
      </c>
      <c r="T28" s="9">
        <f t="shared" si="0"/>
        <v>0</v>
      </c>
      <c r="U28" t="str">
        <f t="shared" si="1"/>
        <v>Jul 1</v>
      </c>
      <c r="V28">
        <f t="shared" si="2"/>
        <v>0</v>
      </c>
      <c r="W28">
        <f t="shared" si="3"/>
        <v>0</v>
      </c>
      <c r="X28">
        <f t="shared" si="4"/>
        <v>0</v>
      </c>
    </row>
    <row r="29" spans="1:24">
      <c r="A29" s="21">
        <f t="shared" si="5"/>
        <v>46205</v>
      </c>
      <c r="B29" s="14">
        <f>SUMIFS(Orders!$M$5:$M$154,Orders!$B$5:$B$154,A29,Orders!$Q$5:$Q$154,"Paid",Orders!$R$5:$R$154,"Completed")</f>
        <v>0</v>
      </c>
      <c r="C29" s="14">
        <f>SUMIFS(Expenses!$J$5:$J$104,Expenses!$B$5:$B$104,A29,Expenses!$L$5:$L$104,"Operating Expense",Expenses!$M$5:$M$104,"Paid")</f>
        <v>0</v>
      </c>
      <c r="D29" s="14">
        <f>B29-SUMIFS(Orders!$O$5:$O$154,Orders!$B$5:$B$154,A29,Orders!$Q$5:$Q$154,"Paid",Orders!$R$5:$R$154,"Completed")-C29</f>
        <v>0</v>
      </c>
      <c r="P29" s="11">
        <f>'Menu &amp; Pricing'!A30</f>
        <v>0</v>
      </c>
      <c r="Q29" s="18">
        <f>IF(P29="","",SUMIFS(Orders!$H$5:$H$154,Orders!$F$5:$F$154,P29,Orders!$B$5:$B$154,"&gt;="&amp;$B$3,Orders!$B$5:$B$154,"&lt;="&amp;$E$3,Orders!$Q$5:$Q$154,"Paid",Orders!$R$5:$R$154,"Completed"))</f>
        <v>0</v>
      </c>
      <c r="R29" s="14">
        <f>IF(P29="","",SUMIFS(Orders!$M$5:$M$154,Orders!$F$5:$F$154,P29,Orders!$B$5:$B$154,"&gt;="&amp;$B$3,Orders!$B$5:$B$154,"&lt;="&amp;$E$3,Orders!$Q$5:$Q$154,"Paid",Orders!$R$5:$R$154,"Completed"))</f>
        <v>0</v>
      </c>
      <c r="S29" s="14">
        <f>IF(P29="","",SUMIFS(Orders!$O$5:$O$154,Orders!$F$5:$F$154,P29,Orders!$B$5:$B$154,"&gt;="&amp;$B$3,Orders!$B$5:$B$154,"&lt;="&amp;$E$3,Orders!$Q$5:$Q$154,"Paid",Orders!$R$5:$R$154,"Completed"))</f>
        <v>0</v>
      </c>
      <c r="T29" s="9">
        <f t="shared" si="0"/>
        <v>0</v>
      </c>
      <c r="U29" t="str">
        <f t="shared" si="1"/>
        <v>Jul 2</v>
      </c>
      <c r="V29">
        <f t="shared" si="2"/>
        <v>0</v>
      </c>
      <c r="W29">
        <f t="shared" si="3"/>
        <v>0</v>
      </c>
      <c r="X29">
        <f t="shared" si="4"/>
        <v>0</v>
      </c>
    </row>
    <row r="30" spans="1:24">
      <c r="A30" s="21">
        <f t="shared" si="5"/>
        <v>46206</v>
      </c>
      <c r="B30" s="14">
        <f>SUMIFS(Orders!$M$5:$M$154,Orders!$B$5:$B$154,A30,Orders!$Q$5:$Q$154,"Paid",Orders!$R$5:$R$154,"Completed")</f>
        <v>0</v>
      </c>
      <c r="C30" s="14">
        <f>SUMIFS(Expenses!$J$5:$J$104,Expenses!$B$5:$B$104,A30,Expenses!$L$5:$L$104,"Operating Expense",Expenses!$M$5:$M$104,"Paid")</f>
        <v>0</v>
      </c>
      <c r="D30" s="14">
        <f>B30-SUMIFS(Orders!$O$5:$O$154,Orders!$B$5:$B$154,A30,Orders!$Q$5:$Q$154,"Paid",Orders!$R$5:$R$154,"Completed")-C30</f>
        <v>0</v>
      </c>
      <c r="P30" s="11">
        <f>'Menu &amp; Pricing'!A31</f>
        <v>0</v>
      </c>
      <c r="Q30" s="18">
        <f>IF(P30="","",SUMIFS(Orders!$H$5:$H$154,Orders!$F$5:$F$154,P30,Orders!$B$5:$B$154,"&gt;="&amp;$B$3,Orders!$B$5:$B$154,"&lt;="&amp;$E$3,Orders!$Q$5:$Q$154,"Paid",Orders!$R$5:$R$154,"Completed"))</f>
        <v>0</v>
      </c>
      <c r="R30" s="14">
        <f>IF(P30="","",SUMIFS(Orders!$M$5:$M$154,Orders!$F$5:$F$154,P30,Orders!$B$5:$B$154,"&gt;="&amp;$B$3,Orders!$B$5:$B$154,"&lt;="&amp;$E$3,Orders!$Q$5:$Q$154,"Paid",Orders!$R$5:$R$154,"Completed"))</f>
        <v>0</v>
      </c>
      <c r="S30" s="14">
        <f>IF(P30="","",SUMIFS(Orders!$O$5:$O$154,Orders!$F$5:$F$154,P30,Orders!$B$5:$B$154,"&gt;="&amp;$B$3,Orders!$B$5:$B$154,"&lt;="&amp;$E$3,Orders!$Q$5:$Q$154,"Paid",Orders!$R$5:$R$154,"Completed"))</f>
        <v>0</v>
      </c>
      <c r="T30" s="9">
        <f t="shared" si="0"/>
        <v>0</v>
      </c>
      <c r="U30" t="str">
        <f t="shared" si="1"/>
        <v>Jul 3</v>
      </c>
      <c r="V30">
        <f t="shared" si="2"/>
        <v>0</v>
      </c>
      <c r="W30">
        <f t="shared" si="3"/>
        <v>0</v>
      </c>
      <c r="X30">
        <f t="shared" si="4"/>
        <v>0</v>
      </c>
    </row>
    <row r="31" spans="1:24">
      <c r="A31" s="21">
        <f t="shared" si="5"/>
        <v>46207</v>
      </c>
      <c r="B31" s="14">
        <f>SUMIFS(Orders!$M$5:$M$154,Orders!$B$5:$B$154,A31,Orders!$Q$5:$Q$154,"Paid",Orders!$R$5:$R$154,"Completed")</f>
        <v>0</v>
      </c>
      <c r="C31" s="14">
        <f>SUMIFS(Expenses!$J$5:$J$104,Expenses!$B$5:$B$104,A31,Expenses!$L$5:$L$104,"Operating Expense",Expenses!$M$5:$M$104,"Paid")</f>
        <v>0</v>
      </c>
      <c r="D31" s="14">
        <f>B31-SUMIFS(Orders!$O$5:$O$154,Orders!$B$5:$B$154,A31,Orders!$Q$5:$Q$154,"Paid",Orders!$R$5:$R$154,"Completed")-C31</f>
        <v>0</v>
      </c>
      <c r="P31" s="11">
        <f>'Menu &amp; Pricing'!A32</f>
        <v>0</v>
      </c>
      <c r="Q31" s="18">
        <f>IF(P31="","",SUMIFS(Orders!$H$5:$H$154,Orders!$F$5:$F$154,P31,Orders!$B$5:$B$154,"&gt;="&amp;$B$3,Orders!$B$5:$B$154,"&lt;="&amp;$E$3,Orders!$Q$5:$Q$154,"Paid",Orders!$R$5:$R$154,"Completed"))</f>
        <v>0</v>
      </c>
      <c r="R31" s="14">
        <f>IF(P31="","",SUMIFS(Orders!$M$5:$M$154,Orders!$F$5:$F$154,P31,Orders!$B$5:$B$154,"&gt;="&amp;$B$3,Orders!$B$5:$B$154,"&lt;="&amp;$E$3,Orders!$Q$5:$Q$154,"Paid",Orders!$R$5:$R$154,"Completed"))</f>
        <v>0</v>
      </c>
      <c r="S31" s="14">
        <f>IF(P31="","",SUMIFS(Orders!$O$5:$O$154,Orders!$F$5:$F$154,P31,Orders!$B$5:$B$154,"&gt;="&amp;$B$3,Orders!$B$5:$B$154,"&lt;="&amp;$E$3,Orders!$Q$5:$Q$154,"Paid",Orders!$R$5:$R$154,"Completed"))</f>
        <v>0</v>
      </c>
      <c r="T31" s="9">
        <f t="shared" si="0"/>
        <v>0</v>
      </c>
      <c r="U31" t="str">
        <f t="shared" si="1"/>
        <v>Jul 4</v>
      </c>
      <c r="V31">
        <f t="shared" si="2"/>
        <v>0</v>
      </c>
      <c r="W31">
        <f t="shared" si="3"/>
        <v>0</v>
      </c>
      <c r="X31">
        <f t="shared" si="4"/>
        <v>0</v>
      </c>
    </row>
    <row r="32" spans="1:24">
      <c r="A32" s="21">
        <f t="shared" si="5"/>
        <v>46208</v>
      </c>
      <c r="B32" s="14">
        <f>SUMIFS(Orders!$M$5:$M$154,Orders!$B$5:$B$154,A32,Orders!$Q$5:$Q$154,"Paid",Orders!$R$5:$R$154,"Completed")</f>
        <v>0</v>
      </c>
      <c r="C32" s="14">
        <f>SUMIFS(Expenses!$J$5:$J$104,Expenses!$B$5:$B$104,A32,Expenses!$L$5:$L$104,"Operating Expense",Expenses!$M$5:$M$104,"Paid")</f>
        <v>0</v>
      </c>
      <c r="D32" s="14">
        <f>B32-SUMIFS(Orders!$O$5:$O$154,Orders!$B$5:$B$154,A32,Orders!$Q$5:$Q$154,"Paid",Orders!$R$5:$R$154,"Completed")-C32</f>
        <v>0</v>
      </c>
      <c r="P32" s="11">
        <f>'Menu &amp; Pricing'!A33</f>
        <v>0</v>
      </c>
      <c r="Q32" s="18">
        <f>IF(P32="","",SUMIFS(Orders!$H$5:$H$154,Orders!$F$5:$F$154,P32,Orders!$B$5:$B$154,"&gt;="&amp;$B$3,Orders!$B$5:$B$154,"&lt;="&amp;$E$3,Orders!$Q$5:$Q$154,"Paid",Orders!$R$5:$R$154,"Completed"))</f>
        <v>0</v>
      </c>
      <c r="R32" s="14">
        <f>IF(P32="","",SUMIFS(Orders!$M$5:$M$154,Orders!$F$5:$F$154,P32,Orders!$B$5:$B$154,"&gt;="&amp;$B$3,Orders!$B$5:$B$154,"&lt;="&amp;$E$3,Orders!$Q$5:$Q$154,"Paid",Orders!$R$5:$R$154,"Completed"))</f>
        <v>0</v>
      </c>
      <c r="S32" s="14">
        <f>IF(P32="","",SUMIFS(Orders!$O$5:$O$154,Orders!$F$5:$F$154,P32,Orders!$B$5:$B$154,"&gt;="&amp;$B$3,Orders!$B$5:$B$154,"&lt;="&amp;$E$3,Orders!$Q$5:$Q$154,"Paid",Orders!$R$5:$R$154,"Completed"))</f>
        <v>0</v>
      </c>
      <c r="T32" s="9">
        <f t="shared" si="0"/>
        <v>0</v>
      </c>
      <c r="U32" t="str">
        <f t="shared" si="1"/>
        <v>Jul 5</v>
      </c>
      <c r="V32">
        <f t="shared" si="2"/>
        <v>0</v>
      </c>
      <c r="W32">
        <f t="shared" si="3"/>
        <v>0</v>
      </c>
      <c r="X32">
        <f t="shared" si="4"/>
        <v>0</v>
      </c>
    </row>
    <row r="33" spans="1:24">
      <c r="A33" s="21">
        <f t="shared" si="5"/>
        <v>46209</v>
      </c>
      <c r="B33" s="14">
        <f>SUMIFS(Orders!$M$5:$M$154,Orders!$B$5:$B$154,A33,Orders!$Q$5:$Q$154,"Paid",Orders!$R$5:$R$154,"Completed")</f>
        <v>0</v>
      </c>
      <c r="C33" s="14">
        <f>SUMIFS(Expenses!$J$5:$J$104,Expenses!$B$5:$B$104,A33,Expenses!$L$5:$L$104,"Operating Expense",Expenses!$M$5:$M$104,"Paid")</f>
        <v>0</v>
      </c>
      <c r="D33" s="14">
        <f>B33-SUMIFS(Orders!$O$5:$O$154,Orders!$B$5:$B$154,A33,Orders!$Q$5:$Q$154,"Paid",Orders!$R$5:$R$154,"Completed")-C33</f>
        <v>0</v>
      </c>
      <c r="P33" s="11">
        <f>'Menu &amp; Pricing'!A34</f>
        <v>0</v>
      </c>
      <c r="Q33" s="18">
        <f>IF(P33="","",SUMIFS(Orders!$H$5:$H$154,Orders!$F$5:$F$154,P33,Orders!$B$5:$B$154,"&gt;="&amp;$B$3,Orders!$B$5:$B$154,"&lt;="&amp;$E$3,Orders!$Q$5:$Q$154,"Paid",Orders!$R$5:$R$154,"Completed"))</f>
        <v>0</v>
      </c>
      <c r="R33" s="14">
        <f>IF(P33="","",SUMIFS(Orders!$M$5:$M$154,Orders!$F$5:$F$154,P33,Orders!$B$5:$B$154,"&gt;="&amp;$B$3,Orders!$B$5:$B$154,"&lt;="&amp;$E$3,Orders!$Q$5:$Q$154,"Paid",Orders!$R$5:$R$154,"Completed"))</f>
        <v>0</v>
      </c>
      <c r="S33" s="14">
        <f>IF(P33="","",SUMIFS(Orders!$O$5:$O$154,Orders!$F$5:$F$154,P33,Orders!$B$5:$B$154,"&gt;="&amp;$B$3,Orders!$B$5:$B$154,"&lt;="&amp;$E$3,Orders!$Q$5:$Q$154,"Paid",Orders!$R$5:$R$154,"Completed"))</f>
        <v>0</v>
      </c>
      <c r="T33" s="9">
        <f t="shared" si="0"/>
        <v>0</v>
      </c>
      <c r="U33" t="str">
        <f t="shared" si="1"/>
        <v>Jul 6</v>
      </c>
      <c r="V33">
        <f t="shared" si="2"/>
        <v>0</v>
      </c>
      <c r="W33">
        <f t="shared" si="3"/>
        <v>0</v>
      </c>
      <c r="X33">
        <f t="shared" si="4"/>
        <v>0</v>
      </c>
    </row>
    <row r="34" spans="1:24">
      <c r="A34" s="21">
        <f t="shared" si="5"/>
        <v>46210</v>
      </c>
      <c r="B34" s="14">
        <f>SUMIFS(Orders!$M$5:$M$154,Orders!$B$5:$B$154,A34,Orders!$Q$5:$Q$154,"Paid",Orders!$R$5:$R$154,"Completed")</f>
        <v>0</v>
      </c>
      <c r="C34" s="14">
        <f>SUMIFS(Expenses!$J$5:$J$104,Expenses!$B$5:$B$104,A34,Expenses!$L$5:$L$104,"Operating Expense",Expenses!$M$5:$M$104,"Paid")</f>
        <v>0</v>
      </c>
      <c r="D34" s="14">
        <f>B34-SUMIFS(Orders!$O$5:$O$154,Orders!$B$5:$B$154,A34,Orders!$Q$5:$Q$154,"Paid",Orders!$R$5:$R$154,"Completed")-C34</f>
        <v>0</v>
      </c>
      <c r="P34" s="11">
        <f>'Menu &amp; Pricing'!A35</f>
        <v>0</v>
      </c>
      <c r="Q34" s="18">
        <f>IF(P34="","",SUMIFS(Orders!$H$5:$H$154,Orders!$F$5:$F$154,P34,Orders!$B$5:$B$154,"&gt;="&amp;$B$3,Orders!$B$5:$B$154,"&lt;="&amp;$E$3,Orders!$Q$5:$Q$154,"Paid",Orders!$R$5:$R$154,"Completed"))</f>
        <v>0</v>
      </c>
      <c r="R34" s="14">
        <f>IF(P34="","",SUMIFS(Orders!$M$5:$M$154,Orders!$F$5:$F$154,P34,Orders!$B$5:$B$154,"&gt;="&amp;$B$3,Orders!$B$5:$B$154,"&lt;="&amp;$E$3,Orders!$Q$5:$Q$154,"Paid",Orders!$R$5:$R$154,"Completed"))</f>
        <v>0</v>
      </c>
      <c r="S34" s="14">
        <f>IF(P34="","",SUMIFS(Orders!$O$5:$O$154,Orders!$F$5:$F$154,P34,Orders!$B$5:$B$154,"&gt;="&amp;$B$3,Orders!$B$5:$B$154,"&lt;="&amp;$E$3,Orders!$Q$5:$Q$154,"Paid",Orders!$R$5:$R$154,"Completed"))</f>
        <v>0</v>
      </c>
      <c r="T34" s="9">
        <f t="shared" si="0"/>
        <v>0</v>
      </c>
      <c r="U34" t="str">
        <f t="shared" si="1"/>
        <v>Jul 7</v>
      </c>
      <c r="V34">
        <f t="shared" si="2"/>
        <v>0</v>
      </c>
      <c r="W34">
        <f t="shared" si="3"/>
        <v>0</v>
      </c>
      <c r="X34">
        <f t="shared" si="4"/>
        <v>0</v>
      </c>
    </row>
    <row r="35" spans="1:24">
      <c r="A35" s="21">
        <f t="shared" si="5"/>
        <v>46211</v>
      </c>
      <c r="B35" s="14">
        <f>SUMIFS(Orders!$M$5:$M$154,Orders!$B$5:$B$154,A35,Orders!$Q$5:$Q$154,"Paid",Orders!$R$5:$R$154,"Completed")</f>
        <v>0</v>
      </c>
      <c r="C35" s="14">
        <f>SUMIFS(Expenses!$J$5:$J$104,Expenses!$B$5:$B$104,A35,Expenses!$L$5:$L$104,"Operating Expense",Expenses!$M$5:$M$104,"Paid")</f>
        <v>0</v>
      </c>
      <c r="D35" s="14">
        <f>B35-SUMIFS(Orders!$O$5:$O$154,Orders!$B$5:$B$154,A35,Orders!$Q$5:$Q$154,"Paid",Orders!$R$5:$R$154,"Completed")-C35</f>
        <v>0</v>
      </c>
      <c r="P35" s="11">
        <f>'Menu &amp; Pricing'!A36</f>
        <v>0</v>
      </c>
      <c r="Q35" s="18">
        <f>IF(P35="","",SUMIFS(Orders!$H$5:$H$154,Orders!$F$5:$F$154,P35,Orders!$B$5:$B$154,"&gt;="&amp;$B$3,Orders!$B$5:$B$154,"&lt;="&amp;$E$3,Orders!$Q$5:$Q$154,"Paid",Orders!$R$5:$R$154,"Completed"))</f>
        <v>0</v>
      </c>
      <c r="R35" s="14">
        <f>IF(P35="","",SUMIFS(Orders!$M$5:$M$154,Orders!$F$5:$F$154,P35,Orders!$B$5:$B$154,"&gt;="&amp;$B$3,Orders!$B$5:$B$154,"&lt;="&amp;$E$3,Orders!$Q$5:$Q$154,"Paid",Orders!$R$5:$R$154,"Completed"))</f>
        <v>0</v>
      </c>
      <c r="S35" s="14">
        <f>IF(P35="","",SUMIFS(Orders!$O$5:$O$154,Orders!$F$5:$F$154,P35,Orders!$B$5:$B$154,"&gt;="&amp;$B$3,Orders!$B$5:$B$154,"&lt;="&amp;$E$3,Orders!$Q$5:$Q$154,"Paid",Orders!$R$5:$R$154,"Completed"))</f>
        <v>0</v>
      </c>
      <c r="T35" s="9">
        <f t="shared" si="0"/>
        <v>0</v>
      </c>
      <c r="U35" t="str">
        <f t="shared" si="1"/>
        <v>Jul 8</v>
      </c>
      <c r="V35">
        <f t="shared" si="2"/>
        <v>0</v>
      </c>
      <c r="W35">
        <f t="shared" si="3"/>
        <v>0</v>
      </c>
      <c r="X35">
        <f t="shared" si="4"/>
        <v>0</v>
      </c>
    </row>
    <row r="36" spans="1:24">
      <c r="A36" s="21">
        <f t="shared" si="5"/>
        <v>46212</v>
      </c>
      <c r="B36" s="14">
        <f>SUMIFS(Orders!$M$5:$M$154,Orders!$B$5:$B$154,A36,Orders!$Q$5:$Q$154,"Paid",Orders!$R$5:$R$154,"Completed")</f>
        <v>0</v>
      </c>
      <c r="C36" s="14">
        <f>SUMIFS(Expenses!$J$5:$J$104,Expenses!$B$5:$B$104,A36,Expenses!$L$5:$L$104,"Operating Expense",Expenses!$M$5:$M$104,"Paid")</f>
        <v>0</v>
      </c>
      <c r="D36" s="14">
        <f>B36-SUMIFS(Orders!$O$5:$O$154,Orders!$B$5:$B$154,A36,Orders!$Q$5:$Q$154,"Paid",Orders!$R$5:$R$154,"Completed")-C36</f>
        <v>0</v>
      </c>
      <c r="P36" s="11">
        <f>'Menu &amp; Pricing'!A37</f>
        <v>0</v>
      </c>
      <c r="Q36" s="18">
        <f>IF(P36="","",SUMIFS(Orders!$H$5:$H$154,Orders!$F$5:$F$154,P36,Orders!$B$5:$B$154,"&gt;="&amp;$B$3,Orders!$B$5:$B$154,"&lt;="&amp;$E$3,Orders!$Q$5:$Q$154,"Paid",Orders!$R$5:$R$154,"Completed"))</f>
        <v>0</v>
      </c>
      <c r="R36" s="14">
        <f>IF(P36="","",SUMIFS(Orders!$M$5:$M$154,Orders!$F$5:$F$154,P36,Orders!$B$5:$B$154,"&gt;="&amp;$B$3,Orders!$B$5:$B$154,"&lt;="&amp;$E$3,Orders!$Q$5:$Q$154,"Paid",Orders!$R$5:$R$154,"Completed"))</f>
        <v>0</v>
      </c>
      <c r="S36" s="14">
        <f>IF(P36="","",SUMIFS(Orders!$O$5:$O$154,Orders!$F$5:$F$154,P36,Orders!$B$5:$B$154,"&gt;="&amp;$B$3,Orders!$B$5:$B$154,"&lt;="&amp;$E$3,Orders!$Q$5:$Q$154,"Paid",Orders!$R$5:$R$154,"Completed"))</f>
        <v>0</v>
      </c>
      <c r="T36" s="9">
        <f t="shared" ref="T36:T67" si="6">IF(P36="","",R36-S36)</f>
        <v>0</v>
      </c>
      <c r="U36" t="str">
        <f t="shared" si="1"/>
        <v>Jul 9</v>
      </c>
      <c r="V36">
        <f t="shared" si="2"/>
        <v>0</v>
      </c>
      <c r="W36">
        <f t="shared" si="3"/>
        <v>0</v>
      </c>
      <c r="X36">
        <f t="shared" si="4"/>
        <v>0</v>
      </c>
    </row>
    <row r="37" spans="1:24">
      <c r="A37" s="21">
        <f t="shared" si="5"/>
        <v>46213</v>
      </c>
      <c r="B37" s="14">
        <f>SUMIFS(Orders!$M$5:$M$154,Orders!$B$5:$B$154,A37,Orders!$Q$5:$Q$154,"Paid",Orders!$R$5:$R$154,"Completed")</f>
        <v>0</v>
      </c>
      <c r="C37" s="14">
        <f>SUMIFS(Expenses!$J$5:$J$104,Expenses!$B$5:$B$104,A37,Expenses!$L$5:$L$104,"Operating Expense",Expenses!$M$5:$M$104,"Paid")</f>
        <v>0</v>
      </c>
      <c r="D37" s="14">
        <f>B37-SUMIFS(Orders!$O$5:$O$154,Orders!$B$5:$B$154,A37,Orders!$Q$5:$Q$154,"Paid",Orders!$R$5:$R$154,"Completed")-C37</f>
        <v>0</v>
      </c>
      <c r="P37" s="11">
        <f>'Menu &amp; Pricing'!A38</f>
        <v>0</v>
      </c>
      <c r="Q37" s="18">
        <f>IF(P37="","",SUMIFS(Orders!$H$5:$H$154,Orders!$F$5:$F$154,P37,Orders!$B$5:$B$154,"&gt;="&amp;$B$3,Orders!$B$5:$B$154,"&lt;="&amp;$E$3,Orders!$Q$5:$Q$154,"Paid",Orders!$R$5:$R$154,"Completed"))</f>
        <v>0</v>
      </c>
      <c r="R37" s="14">
        <f>IF(P37="","",SUMIFS(Orders!$M$5:$M$154,Orders!$F$5:$F$154,P37,Orders!$B$5:$B$154,"&gt;="&amp;$B$3,Orders!$B$5:$B$154,"&lt;="&amp;$E$3,Orders!$Q$5:$Q$154,"Paid",Orders!$R$5:$R$154,"Completed"))</f>
        <v>0</v>
      </c>
      <c r="S37" s="14">
        <f>IF(P37="","",SUMIFS(Orders!$O$5:$O$154,Orders!$F$5:$F$154,P37,Orders!$B$5:$B$154,"&gt;="&amp;$B$3,Orders!$B$5:$B$154,"&lt;="&amp;$E$3,Orders!$Q$5:$Q$154,"Paid",Orders!$R$5:$R$154,"Completed"))</f>
        <v>0</v>
      </c>
      <c r="T37" s="9">
        <f t="shared" si="6"/>
        <v>0</v>
      </c>
      <c r="U37" t="str">
        <f t="shared" si="1"/>
        <v>Jul 10</v>
      </c>
      <c r="V37">
        <f t="shared" si="2"/>
        <v>0</v>
      </c>
      <c r="W37">
        <f t="shared" si="3"/>
        <v>0</v>
      </c>
      <c r="X37">
        <f t="shared" si="4"/>
        <v>0</v>
      </c>
    </row>
    <row r="38" spans="1:24">
      <c r="A38" s="21">
        <f t="shared" si="5"/>
        <v>46214</v>
      </c>
      <c r="B38" s="14">
        <f>SUMIFS(Orders!$M$5:$M$154,Orders!$B$5:$B$154,A38,Orders!$Q$5:$Q$154,"Paid",Orders!$R$5:$R$154,"Completed")</f>
        <v>0</v>
      </c>
      <c r="C38" s="14">
        <f>SUMIFS(Expenses!$J$5:$J$104,Expenses!$B$5:$B$104,A38,Expenses!$L$5:$L$104,"Operating Expense",Expenses!$M$5:$M$104,"Paid")</f>
        <v>0</v>
      </c>
      <c r="D38" s="14">
        <f>B38-SUMIFS(Orders!$O$5:$O$154,Orders!$B$5:$B$154,A38,Orders!$Q$5:$Q$154,"Paid",Orders!$R$5:$R$154,"Completed")-C38</f>
        <v>0</v>
      </c>
      <c r="P38" s="11">
        <f>'Menu &amp; Pricing'!A39</f>
        <v>0</v>
      </c>
      <c r="Q38" s="18">
        <f>IF(P38="","",SUMIFS(Orders!$H$5:$H$154,Orders!$F$5:$F$154,P38,Orders!$B$5:$B$154,"&gt;="&amp;$B$3,Orders!$B$5:$B$154,"&lt;="&amp;$E$3,Orders!$Q$5:$Q$154,"Paid",Orders!$R$5:$R$154,"Completed"))</f>
        <v>0</v>
      </c>
      <c r="R38" s="14">
        <f>IF(P38="","",SUMIFS(Orders!$M$5:$M$154,Orders!$F$5:$F$154,P38,Orders!$B$5:$B$154,"&gt;="&amp;$B$3,Orders!$B$5:$B$154,"&lt;="&amp;$E$3,Orders!$Q$5:$Q$154,"Paid",Orders!$R$5:$R$154,"Completed"))</f>
        <v>0</v>
      </c>
      <c r="S38" s="14">
        <f>IF(P38="","",SUMIFS(Orders!$O$5:$O$154,Orders!$F$5:$F$154,P38,Orders!$B$5:$B$154,"&gt;="&amp;$B$3,Orders!$B$5:$B$154,"&lt;="&amp;$E$3,Orders!$Q$5:$Q$154,"Paid",Orders!$R$5:$R$154,"Completed"))</f>
        <v>0</v>
      </c>
      <c r="T38" s="9">
        <f t="shared" si="6"/>
        <v>0</v>
      </c>
      <c r="U38" t="str">
        <f t="shared" si="1"/>
        <v>Jul 11</v>
      </c>
      <c r="V38">
        <f t="shared" si="2"/>
        <v>0</v>
      </c>
      <c r="W38">
        <f t="shared" si="3"/>
        <v>0</v>
      </c>
      <c r="X38">
        <f t="shared" si="4"/>
        <v>0</v>
      </c>
    </row>
    <row r="39" spans="1:24">
      <c r="A39" s="21">
        <f t="shared" si="5"/>
        <v>46215</v>
      </c>
      <c r="B39" s="14">
        <f>SUMIFS(Orders!$M$5:$M$154,Orders!$B$5:$B$154,A39,Orders!$Q$5:$Q$154,"Paid",Orders!$R$5:$R$154,"Completed")</f>
        <v>0</v>
      </c>
      <c r="C39" s="14">
        <f>SUMIFS(Expenses!$J$5:$J$104,Expenses!$B$5:$B$104,A39,Expenses!$L$5:$L$104,"Operating Expense",Expenses!$M$5:$M$104,"Paid")</f>
        <v>0</v>
      </c>
      <c r="D39" s="14">
        <f>B39-SUMIFS(Orders!$O$5:$O$154,Orders!$B$5:$B$154,A39,Orders!$Q$5:$Q$154,"Paid",Orders!$R$5:$R$154,"Completed")-C39</f>
        <v>0</v>
      </c>
      <c r="P39" s="11">
        <f>'Menu &amp; Pricing'!A40</f>
        <v>0</v>
      </c>
      <c r="Q39" s="18">
        <f>IF(P39="","",SUMIFS(Orders!$H$5:$H$154,Orders!$F$5:$F$154,P39,Orders!$B$5:$B$154,"&gt;="&amp;$B$3,Orders!$B$5:$B$154,"&lt;="&amp;$E$3,Orders!$Q$5:$Q$154,"Paid",Orders!$R$5:$R$154,"Completed"))</f>
        <v>0</v>
      </c>
      <c r="R39" s="14">
        <f>IF(P39="","",SUMIFS(Orders!$M$5:$M$154,Orders!$F$5:$F$154,P39,Orders!$B$5:$B$154,"&gt;="&amp;$B$3,Orders!$B$5:$B$154,"&lt;="&amp;$E$3,Orders!$Q$5:$Q$154,"Paid",Orders!$R$5:$R$154,"Completed"))</f>
        <v>0</v>
      </c>
      <c r="S39" s="14">
        <f>IF(P39="","",SUMIFS(Orders!$O$5:$O$154,Orders!$F$5:$F$154,P39,Orders!$B$5:$B$154,"&gt;="&amp;$B$3,Orders!$B$5:$B$154,"&lt;="&amp;$E$3,Orders!$Q$5:$Q$154,"Paid",Orders!$R$5:$R$154,"Completed"))</f>
        <v>0</v>
      </c>
      <c r="T39" s="9">
        <f t="shared" si="6"/>
        <v>0</v>
      </c>
      <c r="U39" t="str">
        <f t="shared" si="1"/>
        <v>Jul 12</v>
      </c>
      <c r="V39">
        <f t="shared" si="2"/>
        <v>0</v>
      </c>
      <c r="W39">
        <f t="shared" si="3"/>
        <v>0</v>
      </c>
      <c r="X39">
        <f t="shared" si="4"/>
        <v>0</v>
      </c>
    </row>
    <row r="40" spans="1:24">
      <c r="A40" s="21">
        <f t="shared" si="5"/>
        <v>46216</v>
      </c>
      <c r="B40" s="14">
        <f>SUMIFS(Orders!$M$5:$M$154,Orders!$B$5:$B$154,A40,Orders!$Q$5:$Q$154,"Paid",Orders!$R$5:$R$154,"Completed")</f>
        <v>0</v>
      </c>
      <c r="C40" s="14">
        <f>SUMIFS(Expenses!$J$5:$J$104,Expenses!$B$5:$B$104,A40,Expenses!$L$5:$L$104,"Operating Expense",Expenses!$M$5:$M$104,"Paid")</f>
        <v>0</v>
      </c>
      <c r="D40" s="14">
        <f>B40-SUMIFS(Orders!$O$5:$O$154,Orders!$B$5:$B$154,A40,Orders!$Q$5:$Q$154,"Paid",Orders!$R$5:$R$154,"Completed")-C40</f>
        <v>0</v>
      </c>
      <c r="P40" s="11">
        <f>'Menu &amp; Pricing'!A41</f>
        <v>0</v>
      </c>
      <c r="Q40" s="18">
        <f>IF(P40="","",SUMIFS(Orders!$H$5:$H$154,Orders!$F$5:$F$154,P40,Orders!$B$5:$B$154,"&gt;="&amp;$B$3,Orders!$B$5:$B$154,"&lt;="&amp;$E$3,Orders!$Q$5:$Q$154,"Paid",Orders!$R$5:$R$154,"Completed"))</f>
        <v>0</v>
      </c>
      <c r="R40" s="14">
        <f>IF(P40="","",SUMIFS(Orders!$M$5:$M$154,Orders!$F$5:$F$154,P40,Orders!$B$5:$B$154,"&gt;="&amp;$B$3,Orders!$B$5:$B$154,"&lt;="&amp;$E$3,Orders!$Q$5:$Q$154,"Paid",Orders!$R$5:$R$154,"Completed"))</f>
        <v>0</v>
      </c>
      <c r="S40" s="14">
        <f>IF(P40="","",SUMIFS(Orders!$O$5:$O$154,Orders!$F$5:$F$154,P40,Orders!$B$5:$B$154,"&gt;="&amp;$B$3,Orders!$B$5:$B$154,"&lt;="&amp;$E$3,Orders!$Q$5:$Q$154,"Paid",Orders!$R$5:$R$154,"Completed"))</f>
        <v>0</v>
      </c>
      <c r="T40" s="9">
        <f t="shared" si="6"/>
        <v>0</v>
      </c>
      <c r="U40" t="str">
        <f t="shared" si="1"/>
        <v>Jul 13</v>
      </c>
      <c r="V40">
        <f t="shared" si="2"/>
        <v>0</v>
      </c>
      <c r="W40">
        <f t="shared" si="3"/>
        <v>0</v>
      </c>
      <c r="X40">
        <f t="shared" si="4"/>
        <v>0</v>
      </c>
    </row>
    <row r="41" spans="1:24">
      <c r="P41" s="11">
        <f>'Menu &amp; Pricing'!A42</f>
        <v>0</v>
      </c>
      <c r="Q41" s="18">
        <f>IF(P41="","",SUMIFS(Orders!$H$5:$H$154,Orders!$F$5:$F$154,P41,Orders!$B$5:$B$154,"&gt;="&amp;$B$3,Orders!$B$5:$B$154,"&lt;="&amp;$E$3,Orders!$Q$5:$Q$154,"Paid",Orders!$R$5:$R$154,"Completed"))</f>
        <v>0</v>
      </c>
      <c r="R41" s="14">
        <f>IF(P41="","",SUMIFS(Orders!$M$5:$M$154,Orders!$F$5:$F$154,P41,Orders!$B$5:$B$154,"&gt;="&amp;$B$3,Orders!$B$5:$B$154,"&lt;="&amp;$E$3,Orders!$Q$5:$Q$154,"Paid",Orders!$R$5:$R$154,"Completed"))</f>
        <v>0</v>
      </c>
      <c r="S41" s="14">
        <f>IF(P41="","",SUMIFS(Orders!$O$5:$O$154,Orders!$F$5:$F$154,P41,Orders!$B$5:$B$154,"&gt;="&amp;$B$3,Orders!$B$5:$B$154,"&lt;="&amp;$E$3,Orders!$Q$5:$Q$154,"Paid",Orders!$R$5:$R$154,"Completed"))</f>
        <v>0</v>
      </c>
      <c r="T41" s="9">
        <f t="shared" si="6"/>
        <v>0</v>
      </c>
    </row>
    <row r="42" spans="1:24" ht="17.55" customHeight="1">
      <c r="A42" s="29" t="s">
        <v>67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P42" s="11">
        <f>'Menu &amp; Pricing'!A43</f>
        <v>0</v>
      </c>
      <c r="Q42" s="18">
        <f>IF(P42="","",SUMIFS(Orders!$H$5:$H$154,Orders!$F$5:$F$154,P42,Orders!$B$5:$B$154,"&gt;="&amp;$B$3,Orders!$B$5:$B$154,"&lt;="&amp;$E$3,Orders!$Q$5:$Q$154,"Paid",Orders!$R$5:$R$154,"Completed"))</f>
        <v>0</v>
      </c>
      <c r="R42" s="14">
        <f>IF(P42="","",SUMIFS(Orders!$M$5:$M$154,Orders!$F$5:$F$154,P42,Orders!$B$5:$B$154,"&gt;="&amp;$B$3,Orders!$B$5:$B$154,"&lt;="&amp;$E$3,Orders!$Q$5:$Q$154,"Paid",Orders!$R$5:$R$154,"Completed"))</f>
        <v>0</v>
      </c>
      <c r="S42" s="14">
        <f>IF(P42="","",SUMIFS(Orders!$O$5:$O$154,Orders!$F$5:$F$154,P42,Orders!$B$5:$B$154,"&gt;="&amp;$B$3,Orders!$B$5:$B$154,"&lt;="&amp;$E$3,Orders!$Q$5:$Q$154,"Paid",Orders!$R$5:$R$154,"Completed"))</f>
        <v>0</v>
      </c>
      <c r="T42" s="9">
        <f t="shared" si="6"/>
        <v>0</v>
      </c>
    </row>
    <row r="43" spans="1:24">
      <c r="P43" s="11">
        <f>'Menu &amp; Pricing'!A44</f>
        <v>0</v>
      </c>
      <c r="Q43" s="18">
        <f>IF(P43="","",SUMIFS(Orders!$H$5:$H$154,Orders!$F$5:$F$154,P43,Orders!$B$5:$B$154,"&gt;="&amp;$B$3,Orders!$B$5:$B$154,"&lt;="&amp;$E$3,Orders!$Q$5:$Q$154,"Paid",Orders!$R$5:$R$154,"Completed"))</f>
        <v>0</v>
      </c>
      <c r="R43" s="14">
        <f>IF(P43="","",SUMIFS(Orders!$M$5:$M$154,Orders!$F$5:$F$154,P43,Orders!$B$5:$B$154,"&gt;="&amp;$B$3,Orders!$B$5:$B$154,"&lt;="&amp;$E$3,Orders!$Q$5:$Q$154,"Paid",Orders!$R$5:$R$154,"Completed"))</f>
        <v>0</v>
      </c>
      <c r="S43" s="14">
        <f>IF(P43="","",SUMIFS(Orders!$O$5:$O$154,Orders!$F$5:$F$154,P43,Orders!$B$5:$B$154,"&gt;="&amp;$B$3,Orders!$B$5:$B$154,"&lt;="&amp;$E$3,Orders!$Q$5:$Q$154,"Paid",Orders!$R$5:$R$154,"Completed"))</f>
        <v>0</v>
      </c>
      <c r="T43" s="9">
        <f t="shared" si="6"/>
        <v>0</v>
      </c>
    </row>
    <row r="44" spans="1:24" ht="24" customHeight="1">
      <c r="A44" s="1" t="s">
        <v>68</v>
      </c>
      <c r="B44" s="1" t="s">
        <v>69</v>
      </c>
      <c r="P44" s="11">
        <f>'Menu &amp; Pricing'!A45</f>
        <v>0</v>
      </c>
      <c r="Q44" s="18">
        <f>IF(P44="","",SUMIFS(Orders!$H$5:$H$154,Orders!$F$5:$F$154,P44,Orders!$B$5:$B$154,"&gt;="&amp;$B$3,Orders!$B$5:$B$154,"&lt;="&amp;$E$3,Orders!$Q$5:$Q$154,"Paid",Orders!$R$5:$R$154,"Completed"))</f>
        <v>0</v>
      </c>
      <c r="R44" s="14">
        <f>IF(P44="","",SUMIFS(Orders!$M$5:$M$154,Orders!$F$5:$F$154,P44,Orders!$B$5:$B$154,"&gt;="&amp;$B$3,Orders!$B$5:$B$154,"&lt;="&amp;$E$3,Orders!$Q$5:$Q$154,"Paid",Orders!$R$5:$R$154,"Completed"))</f>
        <v>0</v>
      </c>
      <c r="S44" s="14">
        <f>IF(P44="","",SUMIFS(Orders!$O$5:$O$154,Orders!$F$5:$F$154,P44,Orders!$B$5:$B$154,"&gt;="&amp;$B$3,Orders!$B$5:$B$154,"&lt;="&amp;$E$3,Orders!$Q$5:$Q$154,"Paid",Orders!$R$5:$R$154,"Completed"))</f>
        <v>0</v>
      </c>
      <c r="T44" s="9">
        <f t="shared" si="6"/>
        <v>0</v>
      </c>
    </row>
    <row r="45" spans="1:24">
      <c r="A45" t="s">
        <v>70</v>
      </c>
      <c r="B45" s="14">
        <f>SUMIFS(Expenses!$J$5:$J$104,Expenses!$D$5:$D$104,A45,Expenses!$B$5:$B$104,"&gt;="&amp;$B$3,Expenses!$B$5:$B$104,"&lt;="&amp;$E$3,Expenses!$M$5:$M$104,"Paid")</f>
        <v>0</v>
      </c>
      <c r="P45" s="11">
        <f>'Menu &amp; Pricing'!A46</f>
        <v>0</v>
      </c>
      <c r="Q45" s="18">
        <f>IF(P45="","",SUMIFS(Orders!$H$5:$H$154,Orders!$F$5:$F$154,P45,Orders!$B$5:$B$154,"&gt;="&amp;$B$3,Orders!$B$5:$B$154,"&lt;="&amp;$E$3,Orders!$Q$5:$Q$154,"Paid",Orders!$R$5:$R$154,"Completed"))</f>
        <v>0</v>
      </c>
      <c r="R45" s="14">
        <f>IF(P45="","",SUMIFS(Orders!$M$5:$M$154,Orders!$F$5:$F$154,P45,Orders!$B$5:$B$154,"&gt;="&amp;$B$3,Orders!$B$5:$B$154,"&lt;="&amp;$E$3,Orders!$Q$5:$Q$154,"Paid",Orders!$R$5:$R$154,"Completed"))</f>
        <v>0</v>
      </c>
      <c r="S45" s="14">
        <f>IF(P45="","",SUMIFS(Orders!$O$5:$O$154,Orders!$F$5:$F$154,P45,Orders!$B$5:$B$154,"&gt;="&amp;$B$3,Orders!$B$5:$B$154,"&lt;="&amp;$E$3,Orders!$Q$5:$Q$154,"Paid",Orders!$R$5:$R$154,"Completed"))</f>
        <v>0</v>
      </c>
      <c r="T45" s="9">
        <f t="shared" si="6"/>
        <v>0</v>
      </c>
    </row>
    <row r="46" spans="1:24">
      <c r="A46" t="s">
        <v>71</v>
      </c>
      <c r="B46" s="14">
        <f>SUMIFS(Expenses!$J$5:$J$104,Expenses!$D$5:$D$104,A46,Expenses!$B$5:$B$104,"&gt;="&amp;$B$3,Expenses!$B$5:$B$104,"&lt;="&amp;$E$3,Expenses!$M$5:$M$104,"Paid")</f>
        <v>0</v>
      </c>
      <c r="P46" s="11">
        <f>'Menu &amp; Pricing'!A47</f>
        <v>0</v>
      </c>
      <c r="Q46" s="18">
        <f>IF(P46="","",SUMIFS(Orders!$H$5:$H$154,Orders!$F$5:$F$154,P46,Orders!$B$5:$B$154,"&gt;="&amp;$B$3,Orders!$B$5:$B$154,"&lt;="&amp;$E$3,Orders!$Q$5:$Q$154,"Paid",Orders!$R$5:$R$154,"Completed"))</f>
        <v>0</v>
      </c>
      <c r="R46" s="14">
        <f>IF(P46="","",SUMIFS(Orders!$M$5:$M$154,Orders!$F$5:$F$154,P46,Orders!$B$5:$B$154,"&gt;="&amp;$B$3,Orders!$B$5:$B$154,"&lt;="&amp;$E$3,Orders!$Q$5:$Q$154,"Paid",Orders!$R$5:$R$154,"Completed"))</f>
        <v>0</v>
      </c>
      <c r="S46" s="14">
        <f>IF(P46="","",SUMIFS(Orders!$O$5:$O$154,Orders!$F$5:$F$154,P46,Orders!$B$5:$B$154,"&gt;="&amp;$B$3,Orders!$B$5:$B$154,"&lt;="&amp;$E$3,Orders!$Q$5:$Q$154,"Paid",Orders!$R$5:$R$154,"Completed"))</f>
        <v>0</v>
      </c>
      <c r="T46" s="9">
        <f t="shared" si="6"/>
        <v>0</v>
      </c>
    </row>
    <row r="47" spans="1:24">
      <c r="A47" t="s">
        <v>72</v>
      </c>
      <c r="B47" s="14">
        <f>SUMIFS(Expenses!$J$5:$J$104,Expenses!$D$5:$D$104,A47,Expenses!$B$5:$B$104,"&gt;="&amp;$B$3,Expenses!$B$5:$B$104,"&lt;="&amp;$E$3,Expenses!$M$5:$M$104,"Paid")</f>
        <v>0</v>
      </c>
      <c r="P47" s="11">
        <f>'Menu &amp; Pricing'!A48</f>
        <v>0</v>
      </c>
      <c r="Q47" s="18">
        <f>IF(P47="","",SUMIFS(Orders!$H$5:$H$154,Orders!$F$5:$F$154,P47,Orders!$B$5:$B$154,"&gt;="&amp;$B$3,Orders!$B$5:$B$154,"&lt;="&amp;$E$3,Orders!$Q$5:$Q$154,"Paid",Orders!$R$5:$R$154,"Completed"))</f>
        <v>0</v>
      </c>
      <c r="R47" s="14">
        <f>IF(P47="","",SUMIFS(Orders!$M$5:$M$154,Orders!$F$5:$F$154,P47,Orders!$B$5:$B$154,"&gt;="&amp;$B$3,Orders!$B$5:$B$154,"&lt;="&amp;$E$3,Orders!$Q$5:$Q$154,"Paid",Orders!$R$5:$R$154,"Completed"))</f>
        <v>0</v>
      </c>
      <c r="S47" s="14">
        <f>IF(P47="","",SUMIFS(Orders!$O$5:$O$154,Orders!$F$5:$F$154,P47,Orders!$B$5:$B$154,"&gt;="&amp;$B$3,Orders!$B$5:$B$154,"&lt;="&amp;$E$3,Orders!$Q$5:$Q$154,"Paid",Orders!$R$5:$R$154,"Completed"))</f>
        <v>0</v>
      </c>
      <c r="T47" s="9">
        <f t="shared" si="6"/>
        <v>0</v>
      </c>
    </row>
    <row r="48" spans="1:24">
      <c r="A48" t="s">
        <v>73</v>
      </c>
      <c r="B48" s="14">
        <f>SUMIFS(Expenses!$J$5:$J$104,Expenses!$D$5:$D$104,A48,Expenses!$B$5:$B$104,"&gt;="&amp;$B$3,Expenses!$B$5:$B$104,"&lt;="&amp;$E$3,Expenses!$M$5:$M$104,"Paid")</f>
        <v>0</v>
      </c>
      <c r="P48" s="11">
        <f>'Menu &amp; Pricing'!A49</f>
        <v>0</v>
      </c>
      <c r="Q48" s="18">
        <f>IF(P48="","",SUMIFS(Orders!$H$5:$H$154,Orders!$F$5:$F$154,P48,Orders!$B$5:$B$154,"&gt;="&amp;$B$3,Orders!$B$5:$B$154,"&lt;="&amp;$E$3,Orders!$Q$5:$Q$154,"Paid",Orders!$R$5:$R$154,"Completed"))</f>
        <v>0</v>
      </c>
      <c r="R48" s="14">
        <f>IF(P48="","",SUMIFS(Orders!$M$5:$M$154,Orders!$F$5:$F$154,P48,Orders!$B$5:$B$154,"&gt;="&amp;$B$3,Orders!$B$5:$B$154,"&lt;="&amp;$E$3,Orders!$Q$5:$Q$154,"Paid",Orders!$R$5:$R$154,"Completed"))</f>
        <v>0</v>
      </c>
      <c r="S48" s="14">
        <f>IF(P48="","",SUMIFS(Orders!$O$5:$O$154,Orders!$F$5:$F$154,P48,Orders!$B$5:$B$154,"&gt;="&amp;$B$3,Orders!$B$5:$B$154,"&lt;="&amp;$E$3,Orders!$Q$5:$Q$154,"Paid",Orders!$R$5:$R$154,"Completed"))</f>
        <v>0</v>
      </c>
      <c r="T48" s="9">
        <f t="shared" si="6"/>
        <v>0</v>
      </c>
    </row>
    <row r="49" spans="1:20">
      <c r="A49" t="s">
        <v>74</v>
      </c>
      <c r="B49" s="14">
        <f>SUMIFS(Expenses!$J$5:$J$104,Expenses!$D$5:$D$104,A49,Expenses!$B$5:$B$104,"&gt;="&amp;$B$3,Expenses!$B$5:$B$104,"&lt;="&amp;$E$3,Expenses!$M$5:$M$104,"Paid")</f>
        <v>0</v>
      </c>
      <c r="P49" s="11">
        <f>'Menu &amp; Pricing'!A50</f>
        <v>0</v>
      </c>
      <c r="Q49" s="18">
        <f>IF(P49="","",SUMIFS(Orders!$H$5:$H$154,Orders!$F$5:$F$154,P49,Orders!$B$5:$B$154,"&gt;="&amp;$B$3,Orders!$B$5:$B$154,"&lt;="&amp;$E$3,Orders!$Q$5:$Q$154,"Paid",Orders!$R$5:$R$154,"Completed"))</f>
        <v>0</v>
      </c>
      <c r="R49" s="14">
        <f>IF(P49="","",SUMIFS(Orders!$M$5:$M$154,Orders!$F$5:$F$154,P49,Orders!$B$5:$B$154,"&gt;="&amp;$B$3,Orders!$B$5:$B$154,"&lt;="&amp;$E$3,Orders!$Q$5:$Q$154,"Paid",Orders!$R$5:$R$154,"Completed"))</f>
        <v>0</v>
      </c>
      <c r="S49" s="14">
        <f>IF(P49="","",SUMIFS(Orders!$O$5:$O$154,Orders!$F$5:$F$154,P49,Orders!$B$5:$B$154,"&gt;="&amp;$B$3,Orders!$B$5:$B$154,"&lt;="&amp;$E$3,Orders!$Q$5:$Q$154,"Paid",Orders!$R$5:$R$154,"Completed"))</f>
        <v>0</v>
      </c>
      <c r="T49" s="9">
        <f t="shared" si="6"/>
        <v>0</v>
      </c>
    </row>
    <row r="50" spans="1:20">
      <c r="A50" t="s">
        <v>75</v>
      </c>
      <c r="B50" s="14">
        <f>SUMIFS(Expenses!$J$5:$J$104,Expenses!$D$5:$D$104,A50,Expenses!$B$5:$B$104,"&gt;="&amp;$B$3,Expenses!$B$5:$B$104,"&lt;="&amp;$E$3,Expenses!$M$5:$M$104,"Paid")</f>
        <v>0</v>
      </c>
      <c r="P50" s="11">
        <f>'Menu &amp; Pricing'!A51</f>
        <v>0</v>
      </c>
      <c r="Q50" s="18">
        <f>IF(P50="","",SUMIFS(Orders!$H$5:$H$154,Orders!$F$5:$F$154,P50,Orders!$B$5:$B$154,"&gt;="&amp;$B$3,Orders!$B$5:$B$154,"&lt;="&amp;$E$3,Orders!$Q$5:$Q$154,"Paid",Orders!$R$5:$R$154,"Completed"))</f>
        <v>0</v>
      </c>
      <c r="R50" s="14">
        <f>IF(P50="","",SUMIFS(Orders!$M$5:$M$154,Orders!$F$5:$F$154,P50,Orders!$B$5:$B$154,"&gt;="&amp;$B$3,Orders!$B$5:$B$154,"&lt;="&amp;$E$3,Orders!$Q$5:$Q$154,"Paid",Orders!$R$5:$R$154,"Completed"))</f>
        <v>0</v>
      </c>
      <c r="S50" s="14">
        <f>IF(P50="","",SUMIFS(Orders!$O$5:$O$154,Orders!$F$5:$F$154,P50,Orders!$B$5:$B$154,"&gt;="&amp;$B$3,Orders!$B$5:$B$154,"&lt;="&amp;$E$3,Orders!$Q$5:$Q$154,"Paid",Orders!$R$5:$R$154,"Completed"))</f>
        <v>0</v>
      </c>
      <c r="T50" s="9">
        <f t="shared" si="6"/>
        <v>0</v>
      </c>
    </row>
    <row r="51" spans="1:20">
      <c r="A51" t="s">
        <v>76</v>
      </c>
      <c r="B51" s="14">
        <f>SUMIFS(Expenses!$J$5:$J$104,Expenses!$D$5:$D$104,A51,Expenses!$B$5:$B$104,"&gt;="&amp;$B$3,Expenses!$B$5:$B$104,"&lt;="&amp;$E$3,Expenses!$M$5:$M$104,"Paid")</f>
        <v>0</v>
      </c>
      <c r="P51" s="11">
        <f>'Menu &amp; Pricing'!A52</f>
        <v>0</v>
      </c>
      <c r="Q51" s="18">
        <f>IF(P51="","",SUMIFS(Orders!$H$5:$H$154,Orders!$F$5:$F$154,P51,Orders!$B$5:$B$154,"&gt;="&amp;$B$3,Orders!$B$5:$B$154,"&lt;="&amp;$E$3,Orders!$Q$5:$Q$154,"Paid",Orders!$R$5:$R$154,"Completed"))</f>
        <v>0</v>
      </c>
      <c r="R51" s="14">
        <f>IF(P51="","",SUMIFS(Orders!$M$5:$M$154,Orders!$F$5:$F$154,P51,Orders!$B$5:$B$154,"&gt;="&amp;$B$3,Orders!$B$5:$B$154,"&lt;="&amp;$E$3,Orders!$Q$5:$Q$154,"Paid",Orders!$R$5:$R$154,"Completed"))</f>
        <v>0</v>
      </c>
      <c r="S51" s="14">
        <f>IF(P51="","",SUMIFS(Orders!$O$5:$O$154,Orders!$F$5:$F$154,P51,Orders!$B$5:$B$154,"&gt;="&amp;$B$3,Orders!$B$5:$B$154,"&lt;="&amp;$E$3,Orders!$Q$5:$Q$154,"Paid",Orders!$R$5:$R$154,"Completed"))</f>
        <v>0</v>
      </c>
      <c r="T51" s="9">
        <f t="shared" si="6"/>
        <v>0</v>
      </c>
    </row>
    <row r="52" spans="1:20">
      <c r="A52" t="s">
        <v>77</v>
      </c>
      <c r="B52" s="14">
        <f>SUMIFS(Expenses!$J$5:$J$104,Expenses!$D$5:$D$104,A52,Expenses!$B$5:$B$104,"&gt;="&amp;$B$3,Expenses!$B$5:$B$104,"&lt;="&amp;$E$3,Expenses!$M$5:$M$104,"Paid")</f>
        <v>0</v>
      </c>
      <c r="P52" s="11">
        <f>'Menu &amp; Pricing'!A53</f>
        <v>0</v>
      </c>
      <c r="Q52" s="18">
        <f>IF(P52="","",SUMIFS(Orders!$H$5:$H$154,Orders!$F$5:$F$154,P52,Orders!$B$5:$B$154,"&gt;="&amp;$B$3,Orders!$B$5:$B$154,"&lt;="&amp;$E$3,Orders!$Q$5:$Q$154,"Paid",Orders!$R$5:$R$154,"Completed"))</f>
        <v>0</v>
      </c>
      <c r="R52" s="14">
        <f>IF(P52="","",SUMIFS(Orders!$M$5:$M$154,Orders!$F$5:$F$154,P52,Orders!$B$5:$B$154,"&gt;="&amp;$B$3,Orders!$B$5:$B$154,"&lt;="&amp;$E$3,Orders!$Q$5:$Q$154,"Paid",Orders!$R$5:$R$154,"Completed"))</f>
        <v>0</v>
      </c>
      <c r="S52" s="14">
        <f>IF(P52="","",SUMIFS(Orders!$O$5:$O$154,Orders!$F$5:$F$154,P52,Orders!$B$5:$B$154,"&gt;="&amp;$B$3,Orders!$B$5:$B$154,"&lt;="&amp;$E$3,Orders!$Q$5:$Q$154,"Paid",Orders!$R$5:$R$154,"Completed"))</f>
        <v>0</v>
      </c>
      <c r="T52" s="9">
        <f t="shared" si="6"/>
        <v>0</v>
      </c>
    </row>
    <row r="53" spans="1:20">
      <c r="A53" t="s">
        <v>78</v>
      </c>
      <c r="B53" s="14">
        <f>SUMIFS(Expenses!$J$5:$J$104,Expenses!$D$5:$D$104,A53,Expenses!$B$5:$B$104,"&gt;="&amp;$B$3,Expenses!$B$5:$B$104,"&lt;="&amp;$E$3,Expenses!$M$5:$M$104,"Paid")</f>
        <v>0</v>
      </c>
      <c r="P53" s="11">
        <f>'Menu &amp; Pricing'!A54</f>
        <v>0</v>
      </c>
      <c r="Q53" s="18">
        <f>IF(P53="","",SUMIFS(Orders!$H$5:$H$154,Orders!$F$5:$F$154,P53,Orders!$B$5:$B$154,"&gt;="&amp;$B$3,Orders!$B$5:$B$154,"&lt;="&amp;$E$3,Orders!$Q$5:$Q$154,"Paid",Orders!$R$5:$R$154,"Completed"))</f>
        <v>0</v>
      </c>
      <c r="R53" s="14">
        <f>IF(P53="","",SUMIFS(Orders!$M$5:$M$154,Orders!$F$5:$F$154,P53,Orders!$B$5:$B$154,"&gt;="&amp;$B$3,Orders!$B$5:$B$154,"&lt;="&amp;$E$3,Orders!$Q$5:$Q$154,"Paid",Orders!$R$5:$R$154,"Completed"))</f>
        <v>0</v>
      </c>
      <c r="S53" s="14">
        <f>IF(P53="","",SUMIFS(Orders!$O$5:$O$154,Orders!$F$5:$F$154,P53,Orders!$B$5:$B$154,"&gt;="&amp;$B$3,Orders!$B$5:$B$154,"&lt;="&amp;$E$3,Orders!$Q$5:$Q$154,"Paid",Orders!$R$5:$R$154,"Completed"))</f>
        <v>0</v>
      </c>
      <c r="T53" s="9">
        <f t="shared" si="6"/>
        <v>0</v>
      </c>
    </row>
    <row r="54" spans="1:20">
      <c r="A54" t="s">
        <v>79</v>
      </c>
      <c r="B54" s="14">
        <f>SUMIFS(Expenses!$J$5:$J$104,Expenses!$D$5:$D$104,A54,Expenses!$B$5:$B$104,"&gt;="&amp;$B$3,Expenses!$B$5:$B$104,"&lt;="&amp;$E$3,Expenses!$M$5:$M$104,"Paid")</f>
        <v>0</v>
      </c>
    </row>
    <row r="55" spans="1:20">
      <c r="A55" t="s">
        <v>80</v>
      </c>
      <c r="B55" s="14">
        <f>SUMIFS(Expenses!$J$5:$J$104,Expenses!$D$5:$D$104,A55,Expenses!$B$5:$B$104,"&gt;="&amp;$B$3,Expenses!$B$5:$B$104,"&lt;="&amp;$E$3,Expenses!$M$5:$M$104,"Paid")</f>
        <v>0</v>
      </c>
    </row>
    <row r="56" spans="1:20">
      <c r="A56" t="s">
        <v>81</v>
      </c>
      <c r="B56" s="14">
        <f>SUMIFS(Expenses!$J$5:$J$104,Expenses!$D$5:$D$104,A56,Expenses!$B$5:$B$104,"&gt;="&amp;$B$3,Expenses!$B$5:$B$104,"&lt;="&amp;$E$3,Expenses!$M$5:$M$104,"Paid")</f>
        <v>0</v>
      </c>
    </row>
  </sheetData>
  <sheetProtection algorithmName="SHA-512" hashValue="KAYXZg0GrYuWq9UhliXketD9+vZM4yhKpe6sOupi6ZtxmdXUbf06mF1sk+4lvheWN6zT6s5tXfPF8Fyn7/6uZQ==" saltValue="yQICMC+ZO9R0ZdLSLNZ46w==" spinCount="100000" sheet="1" formatCells="0" formatColumns="0" formatRows="0" insertColumns="0" insertRows="0" insertHyperlinks="0" deleteColumns="0" deleteRows="0" sort="0" autoFilter="0" pivotTables="0"/>
  <mergeCells count="21">
    <mergeCell ref="J11:L11"/>
    <mergeCell ref="J12:L14"/>
    <mergeCell ref="A16:N16"/>
    <mergeCell ref="A24:N24"/>
    <mergeCell ref="A42:N42"/>
    <mergeCell ref="A11:C11"/>
    <mergeCell ref="A12:C14"/>
    <mergeCell ref="D11:F11"/>
    <mergeCell ref="D12:F14"/>
    <mergeCell ref="G11:I11"/>
    <mergeCell ref="G12:I14"/>
    <mergeCell ref="A1:N1"/>
    <mergeCell ref="B4:E4"/>
    <mergeCell ref="A6:C6"/>
    <mergeCell ref="A7:C9"/>
    <mergeCell ref="D6:F6"/>
    <mergeCell ref="D7:F9"/>
    <mergeCell ref="G6:I6"/>
    <mergeCell ref="G7:I9"/>
    <mergeCell ref="J6:L6"/>
    <mergeCell ref="J7:L9"/>
  </mergeCells>
  <conditionalFormatting sqref="D12">
    <cfRule type="expression" dxfId="14" priority="1">
      <formula>D12&lt;0</formula>
    </cfRule>
    <cfRule type="expression" dxfId="13" priority="2">
      <formula>D12&gt;0</formula>
    </cfRule>
  </conditionalFormatting>
  <conditionalFormatting sqref="D27:D40">
    <cfRule type="expression" dxfId="12" priority="3">
      <formula>D27&lt;0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4"/>
  <sheetViews>
    <sheetView workbookViewId="0"/>
  </sheetViews>
  <sheetFormatPr defaultRowHeight="13.8"/>
  <cols>
    <col min="1" max="1" width="15" customWidth="1"/>
    <col min="2" max="3" width="13" customWidth="1"/>
    <col min="4" max="6" width="22" customWidth="1"/>
    <col min="7" max="15" width="16" customWidth="1"/>
    <col min="16" max="19" width="17" customWidth="1"/>
    <col min="20" max="20" width="28" customWidth="1"/>
    <col min="21" max="21" width="14" customWidth="1"/>
  </cols>
  <sheetData>
    <row r="1" spans="1:21" ht="27.15" customHeight="1">
      <c r="A1" s="22" t="s">
        <v>82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20.85" customHeight="1">
      <c r="A2" s="24" t="s">
        <v>83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4" spans="1:21" ht="24" customHeight="1">
      <c r="A4" s="1" t="s">
        <v>84</v>
      </c>
      <c r="B4" s="1" t="s">
        <v>64</v>
      </c>
      <c r="C4" s="1" t="s">
        <v>85</v>
      </c>
      <c r="D4" s="1" t="s">
        <v>86</v>
      </c>
      <c r="E4" s="1" t="s">
        <v>87</v>
      </c>
      <c r="F4" s="1" t="s">
        <v>45</v>
      </c>
      <c r="G4" s="1" t="s">
        <v>88</v>
      </c>
      <c r="H4" s="1" t="s">
        <v>89</v>
      </c>
      <c r="I4" s="1" t="s">
        <v>90</v>
      </c>
      <c r="J4" s="1" t="s">
        <v>91</v>
      </c>
      <c r="K4" s="1" t="s">
        <v>92</v>
      </c>
      <c r="L4" s="1" t="s">
        <v>93</v>
      </c>
      <c r="M4" s="1" t="s">
        <v>47</v>
      </c>
      <c r="N4" s="1" t="s">
        <v>94</v>
      </c>
      <c r="O4" s="1" t="s">
        <v>48</v>
      </c>
      <c r="P4" s="1" t="s">
        <v>95</v>
      </c>
      <c r="Q4" s="1" t="s">
        <v>96</v>
      </c>
      <c r="R4" s="1" t="s">
        <v>97</v>
      </c>
      <c r="S4" s="1" t="s">
        <v>98</v>
      </c>
      <c r="T4" s="1" t="s">
        <v>99</v>
      </c>
      <c r="U4" s="1" t="s">
        <v>100</v>
      </c>
    </row>
    <row r="5" spans="1:21">
      <c r="A5" s="3"/>
      <c r="B5" s="4"/>
      <c r="C5" s="12"/>
      <c r="D5" s="3"/>
      <c r="E5" s="3"/>
      <c r="F5" s="3"/>
      <c r="G5" s="11" t="str">
        <f>IFERROR(VLOOKUP(F5,'Menu &amp; Pricing'!$A$5:$I$54,2,FALSE),"")</f>
        <v/>
      </c>
      <c r="H5" s="13"/>
      <c r="I5" s="14" t="str">
        <f>IFERROR(VLOOKUP(F5,'Menu &amp; Pricing'!$A$5:$I$54,5,FALSE),"")</f>
        <v/>
      </c>
      <c r="J5" s="8"/>
      <c r="K5" s="9" t="str">
        <f t="shared" ref="K5:K36" si="0">IF(OR(H5="",I5=""),"",H5*I5+IF(J5="",0,J5))</f>
        <v/>
      </c>
      <c r="L5" s="8"/>
      <c r="M5" s="9" t="str">
        <f t="shared" ref="M5:M36" si="1">IF(K5="","",MAX(0,K5-IF(L5="",0,L5)))</f>
        <v/>
      </c>
      <c r="N5" s="14" t="str">
        <f>IFERROR(VLOOKUP(F5,'Menu &amp; Pricing'!$A$5:$I$54,6,FALSE),"")</f>
        <v/>
      </c>
      <c r="O5" s="9" t="str">
        <f t="shared" ref="O5:O36" si="2">IF(OR(H5="",N5=""),"",H5*N5)</f>
        <v/>
      </c>
      <c r="P5" s="3"/>
      <c r="Q5" s="3"/>
      <c r="R5" s="3"/>
      <c r="S5" s="3"/>
      <c r="T5" s="3"/>
      <c r="U5" s="7">
        <f>IF(AND(A5&lt;&gt;"",Q5="Paid",R5="Completed",COUNTIFS($A$5:A5,A5,$B$5:B5,B5,$Q$5:Q5,"Paid",$R$5:R5,"Completed")=1),1,0)</f>
        <v>0</v>
      </c>
    </row>
    <row r="6" spans="1:21">
      <c r="A6" s="3"/>
      <c r="B6" s="4"/>
      <c r="C6" s="12"/>
      <c r="D6" s="3"/>
      <c r="E6" s="3"/>
      <c r="F6" s="3"/>
      <c r="G6" s="11" t="str">
        <f>IFERROR(VLOOKUP(F6,'Menu &amp; Pricing'!$A$5:$I$54,2,FALSE),"")</f>
        <v/>
      </c>
      <c r="H6" s="13"/>
      <c r="I6" s="14" t="str">
        <f>IFERROR(VLOOKUP(F6,'Menu &amp; Pricing'!$A$5:$I$54,5,FALSE),"")</f>
        <v/>
      </c>
      <c r="J6" s="8"/>
      <c r="K6" s="9" t="str">
        <f t="shared" si="0"/>
        <v/>
      </c>
      <c r="L6" s="8"/>
      <c r="M6" s="9" t="str">
        <f t="shared" si="1"/>
        <v/>
      </c>
      <c r="N6" s="14" t="str">
        <f>IFERROR(VLOOKUP(F6,'Menu &amp; Pricing'!$A$5:$I$54,6,FALSE),"")</f>
        <v/>
      </c>
      <c r="O6" s="9" t="str">
        <f t="shared" si="2"/>
        <v/>
      </c>
      <c r="P6" s="3"/>
      <c r="Q6" s="3"/>
      <c r="R6" s="3"/>
      <c r="S6" s="3"/>
      <c r="T6" s="3"/>
      <c r="U6" s="7">
        <f>IF(AND(A6&lt;&gt;"",Q6="Paid",R6="Completed",COUNTIFS($A$5:A6,A6,$B$5:B6,B6,$Q$5:Q6,"Paid",$R$5:R6,"Completed")=1),1,0)</f>
        <v>0</v>
      </c>
    </row>
    <row r="7" spans="1:21">
      <c r="A7" s="3"/>
      <c r="B7" s="4"/>
      <c r="C7" s="12"/>
      <c r="D7" s="3"/>
      <c r="E7" s="3"/>
      <c r="F7" s="3"/>
      <c r="G7" s="11" t="str">
        <f>IFERROR(VLOOKUP(F7,'Menu &amp; Pricing'!$A$5:$I$54,2,FALSE),"")</f>
        <v/>
      </c>
      <c r="H7" s="13"/>
      <c r="I7" s="14" t="str">
        <f>IFERROR(VLOOKUP(F7,'Menu &amp; Pricing'!$A$5:$I$54,5,FALSE),"")</f>
        <v/>
      </c>
      <c r="J7" s="8"/>
      <c r="K7" s="9" t="str">
        <f t="shared" si="0"/>
        <v/>
      </c>
      <c r="L7" s="8"/>
      <c r="M7" s="9" t="str">
        <f t="shared" si="1"/>
        <v/>
      </c>
      <c r="N7" s="14" t="str">
        <f>IFERROR(VLOOKUP(F7,'Menu &amp; Pricing'!$A$5:$I$54,6,FALSE),"")</f>
        <v/>
      </c>
      <c r="O7" s="9" t="str">
        <f t="shared" si="2"/>
        <v/>
      </c>
      <c r="P7" s="3"/>
      <c r="Q7" s="3"/>
      <c r="R7" s="3"/>
      <c r="S7" s="3"/>
      <c r="T7" s="3"/>
      <c r="U7" s="7">
        <f>IF(AND(A7&lt;&gt;"",Q7="Paid",R7="Completed",COUNTIFS($A$5:A7,A7,$B$5:B7,B7,$Q$5:Q7,"Paid",$R$5:R7,"Completed")=1),1,0)</f>
        <v>0</v>
      </c>
    </row>
    <row r="8" spans="1:21">
      <c r="A8" s="3"/>
      <c r="B8" s="4"/>
      <c r="C8" s="12"/>
      <c r="D8" s="3"/>
      <c r="E8" s="3"/>
      <c r="F8" s="3"/>
      <c r="G8" s="11" t="str">
        <f>IFERROR(VLOOKUP(F8,'Menu &amp; Pricing'!$A$5:$I$54,2,FALSE),"")</f>
        <v/>
      </c>
      <c r="H8" s="13"/>
      <c r="I8" s="14" t="str">
        <f>IFERROR(VLOOKUP(F8,'Menu &amp; Pricing'!$A$5:$I$54,5,FALSE),"")</f>
        <v/>
      </c>
      <c r="J8" s="8"/>
      <c r="K8" s="9" t="str">
        <f t="shared" si="0"/>
        <v/>
      </c>
      <c r="L8" s="8"/>
      <c r="M8" s="9" t="str">
        <f t="shared" si="1"/>
        <v/>
      </c>
      <c r="N8" s="14" t="str">
        <f>IFERROR(VLOOKUP(F8,'Menu &amp; Pricing'!$A$5:$I$54,6,FALSE),"")</f>
        <v/>
      </c>
      <c r="O8" s="9" t="str">
        <f t="shared" si="2"/>
        <v/>
      </c>
      <c r="P8" s="3"/>
      <c r="Q8" s="3"/>
      <c r="R8" s="3"/>
      <c r="S8" s="3"/>
      <c r="T8" s="3"/>
      <c r="U8" s="7">
        <f>IF(AND(A8&lt;&gt;"",Q8="Paid",R8="Completed",COUNTIFS($A$5:A8,A8,$B$5:B8,B8,$Q$5:Q8,"Paid",$R$5:R8,"Completed")=1),1,0)</f>
        <v>0</v>
      </c>
    </row>
    <row r="9" spans="1:21">
      <c r="A9" s="3"/>
      <c r="B9" s="4"/>
      <c r="C9" s="12"/>
      <c r="D9" s="3"/>
      <c r="E9" s="3"/>
      <c r="F9" s="3"/>
      <c r="G9" s="11" t="str">
        <f>IFERROR(VLOOKUP(F9,'Menu &amp; Pricing'!$A$5:$I$54,2,FALSE),"")</f>
        <v/>
      </c>
      <c r="H9" s="13"/>
      <c r="I9" s="14" t="str">
        <f>IFERROR(VLOOKUP(F9,'Menu &amp; Pricing'!$A$5:$I$54,5,FALSE),"")</f>
        <v/>
      </c>
      <c r="J9" s="8"/>
      <c r="K9" s="9" t="str">
        <f t="shared" si="0"/>
        <v/>
      </c>
      <c r="L9" s="8"/>
      <c r="M9" s="9" t="str">
        <f t="shared" si="1"/>
        <v/>
      </c>
      <c r="N9" s="14" t="str">
        <f>IFERROR(VLOOKUP(F9,'Menu &amp; Pricing'!$A$5:$I$54,6,FALSE),"")</f>
        <v/>
      </c>
      <c r="O9" s="9" t="str">
        <f t="shared" si="2"/>
        <v/>
      </c>
      <c r="P9" s="3"/>
      <c r="Q9" s="3"/>
      <c r="R9" s="3"/>
      <c r="S9" s="3"/>
      <c r="T9" s="3"/>
      <c r="U9" s="7">
        <f>IF(AND(A9&lt;&gt;"",Q9="Paid",R9="Completed",COUNTIFS($A$5:A9,A9,$B$5:B9,B9,$Q$5:Q9,"Paid",$R$5:R9,"Completed")=1),1,0)</f>
        <v>0</v>
      </c>
    </row>
    <row r="10" spans="1:21">
      <c r="A10" s="3"/>
      <c r="B10" s="4"/>
      <c r="C10" s="12"/>
      <c r="D10" s="3"/>
      <c r="E10" s="3"/>
      <c r="F10" s="3"/>
      <c r="G10" s="11" t="str">
        <f>IFERROR(VLOOKUP(F10,'Menu &amp; Pricing'!$A$5:$I$54,2,FALSE),"")</f>
        <v/>
      </c>
      <c r="H10" s="13"/>
      <c r="I10" s="14" t="str">
        <f>IFERROR(VLOOKUP(F10,'Menu &amp; Pricing'!$A$5:$I$54,5,FALSE),"")</f>
        <v/>
      </c>
      <c r="J10" s="8"/>
      <c r="K10" s="9" t="str">
        <f t="shared" si="0"/>
        <v/>
      </c>
      <c r="L10" s="8"/>
      <c r="M10" s="9" t="str">
        <f t="shared" si="1"/>
        <v/>
      </c>
      <c r="N10" s="14" t="str">
        <f>IFERROR(VLOOKUP(F10,'Menu &amp; Pricing'!$A$5:$I$54,6,FALSE),"")</f>
        <v/>
      </c>
      <c r="O10" s="9" t="str">
        <f t="shared" si="2"/>
        <v/>
      </c>
      <c r="P10" s="3"/>
      <c r="Q10" s="3"/>
      <c r="R10" s="3"/>
      <c r="S10" s="3"/>
      <c r="T10" s="3"/>
      <c r="U10" s="7">
        <f>IF(AND(A10&lt;&gt;"",Q10="Paid",R10="Completed",COUNTIFS($A$5:A10,A10,$B$5:B10,B10,$Q$5:Q10,"Paid",$R$5:R10,"Completed")=1),1,0)</f>
        <v>0</v>
      </c>
    </row>
    <row r="11" spans="1:21">
      <c r="A11" s="3"/>
      <c r="B11" s="4"/>
      <c r="C11" s="12"/>
      <c r="D11" s="3"/>
      <c r="E11" s="3"/>
      <c r="F11" s="3"/>
      <c r="G11" s="11" t="str">
        <f>IFERROR(VLOOKUP(F11,'Menu &amp; Pricing'!$A$5:$I$54,2,FALSE),"")</f>
        <v/>
      </c>
      <c r="H11" s="13"/>
      <c r="I11" s="14" t="str">
        <f>IFERROR(VLOOKUP(F11,'Menu &amp; Pricing'!$A$5:$I$54,5,FALSE),"")</f>
        <v/>
      </c>
      <c r="J11" s="8"/>
      <c r="K11" s="9" t="str">
        <f t="shared" si="0"/>
        <v/>
      </c>
      <c r="L11" s="8"/>
      <c r="M11" s="9" t="str">
        <f t="shared" si="1"/>
        <v/>
      </c>
      <c r="N11" s="14" t="str">
        <f>IFERROR(VLOOKUP(F11,'Menu &amp; Pricing'!$A$5:$I$54,6,FALSE),"")</f>
        <v/>
      </c>
      <c r="O11" s="9" t="str">
        <f t="shared" si="2"/>
        <v/>
      </c>
      <c r="P11" s="3"/>
      <c r="Q11" s="3"/>
      <c r="R11" s="3"/>
      <c r="S11" s="3"/>
      <c r="T11" s="3"/>
      <c r="U11" s="7">
        <f>IF(AND(A11&lt;&gt;"",Q11="Paid",R11="Completed",COUNTIFS($A$5:A11,A11,$B$5:B11,B11,$Q$5:Q11,"Paid",$R$5:R11,"Completed")=1),1,0)</f>
        <v>0</v>
      </c>
    </row>
    <row r="12" spans="1:21">
      <c r="A12" s="3"/>
      <c r="B12" s="4"/>
      <c r="C12" s="12"/>
      <c r="D12" s="3"/>
      <c r="E12" s="3"/>
      <c r="F12" s="3"/>
      <c r="G12" s="11" t="str">
        <f>IFERROR(VLOOKUP(F12,'Menu &amp; Pricing'!$A$5:$I$54,2,FALSE),"")</f>
        <v/>
      </c>
      <c r="H12" s="13"/>
      <c r="I12" s="14" t="str">
        <f>IFERROR(VLOOKUP(F12,'Menu &amp; Pricing'!$A$5:$I$54,5,FALSE),"")</f>
        <v/>
      </c>
      <c r="J12" s="8"/>
      <c r="K12" s="9" t="str">
        <f t="shared" si="0"/>
        <v/>
      </c>
      <c r="L12" s="8"/>
      <c r="M12" s="9" t="str">
        <f t="shared" si="1"/>
        <v/>
      </c>
      <c r="N12" s="14" t="str">
        <f>IFERROR(VLOOKUP(F12,'Menu &amp; Pricing'!$A$5:$I$54,6,FALSE),"")</f>
        <v/>
      </c>
      <c r="O12" s="9" t="str">
        <f t="shared" si="2"/>
        <v/>
      </c>
      <c r="P12" s="3"/>
      <c r="Q12" s="3"/>
      <c r="R12" s="3"/>
      <c r="S12" s="3"/>
      <c r="T12" s="3"/>
      <c r="U12" s="7">
        <f>IF(AND(A12&lt;&gt;"",Q12="Paid",R12="Completed",COUNTIFS($A$5:A12,A12,$B$5:B12,B12,$Q$5:Q12,"Paid",$R$5:R12,"Completed")=1),1,0)</f>
        <v>0</v>
      </c>
    </row>
    <row r="13" spans="1:21">
      <c r="A13" s="3"/>
      <c r="B13" s="4"/>
      <c r="C13" s="12"/>
      <c r="D13" s="3"/>
      <c r="E13" s="3"/>
      <c r="F13" s="3"/>
      <c r="G13" s="11" t="str">
        <f>IFERROR(VLOOKUP(F13,'Menu &amp; Pricing'!$A$5:$I$54,2,FALSE),"")</f>
        <v/>
      </c>
      <c r="H13" s="13"/>
      <c r="I13" s="14" t="str">
        <f>IFERROR(VLOOKUP(F13,'Menu &amp; Pricing'!$A$5:$I$54,5,FALSE),"")</f>
        <v/>
      </c>
      <c r="J13" s="8"/>
      <c r="K13" s="9" t="str">
        <f t="shared" si="0"/>
        <v/>
      </c>
      <c r="L13" s="8"/>
      <c r="M13" s="9" t="str">
        <f t="shared" si="1"/>
        <v/>
      </c>
      <c r="N13" s="14" t="str">
        <f>IFERROR(VLOOKUP(F13,'Menu &amp; Pricing'!$A$5:$I$54,6,FALSE),"")</f>
        <v/>
      </c>
      <c r="O13" s="9" t="str">
        <f t="shared" si="2"/>
        <v/>
      </c>
      <c r="P13" s="3"/>
      <c r="Q13" s="3"/>
      <c r="R13" s="3"/>
      <c r="S13" s="3"/>
      <c r="T13" s="3"/>
      <c r="U13" s="7">
        <f>IF(AND(A13&lt;&gt;"",Q13="Paid",R13="Completed",COUNTIFS($A$5:A13,A13,$B$5:B13,B13,$Q$5:Q13,"Paid",$R$5:R13,"Completed")=1),1,0)</f>
        <v>0</v>
      </c>
    </row>
    <row r="14" spans="1:21">
      <c r="A14" s="3"/>
      <c r="B14" s="4"/>
      <c r="C14" s="12"/>
      <c r="D14" s="3"/>
      <c r="E14" s="3"/>
      <c r="F14" s="3"/>
      <c r="G14" s="11" t="str">
        <f>IFERROR(VLOOKUP(F14,'Menu &amp; Pricing'!$A$5:$I$54,2,FALSE),"")</f>
        <v/>
      </c>
      <c r="H14" s="13"/>
      <c r="I14" s="14" t="str">
        <f>IFERROR(VLOOKUP(F14,'Menu &amp; Pricing'!$A$5:$I$54,5,FALSE),"")</f>
        <v/>
      </c>
      <c r="J14" s="8"/>
      <c r="K14" s="9" t="str">
        <f t="shared" si="0"/>
        <v/>
      </c>
      <c r="L14" s="8"/>
      <c r="M14" s="9" t="str">
        <f t="shared" si="1"/>
        <v/>
      </c>
      <c r="N14" s="14" t="str">
        <f>IFERROR(VLOOKUP(F14,'Menu &amp; Pricing'!$A$5:$I$54,6,FALSE),"")</f>
        <v/>
      </c>
      <c r="O14" s="9" t="str">
        <f t="shared" si="2"/>
        <v/>
      </c>
      <c r="P14" s="3"/>
      <c r="Q14" s="3"/>
      <c r="R14" s="3"/>
      <c r="S14" s="3"/>
      <c r="T14" s="3"/>
      <c r="U14" s="7">
        <f>IF(AND(A14&lt;&gt;"",Q14="Paid",R14="Completed",COUNTIFS($A$5:A14,A14,$B$5:B14,B14,$Q$5:Q14,"Paid",$R$5:R14,"Completed")=1),1,0)</f>
        <v>0</v>
      </c>
    </row>
    <row r="15" spans="1:21">
      <c r="A15" s="3"/>
      <c r="B15" s="4"/>
      <c r="C15" s="12"/>
      <c r="D15" s="3"/>
      <c r="E15" s="3"/>
      <c r="F15" s="3"/>
      <c r="G15" s="11" t="str">
        <f>IFERROR(VLOOKUP(F15,'Menu &amp; Pricing'!$A$5:$I$54,2,FALSE),"")</f>
        <v/>
      </c>
      <c r="H15" s="13"/>
      <c r="I15" s="14" t="str">
        <f>IFERROR(VLOOKUP(F15,'Menu &amp; Pricing'!$A$5:$I$54,5,FALSE),"")</f>
        <v/>
      </c>
      <c r="J15" s="8"/>
      <c r="K15" s="9" t="str">
        <f t="shared" si="0"/>
        <v/>
      </c>
      <c r="L15" s="8"/>
      <c r="M15" s="9" t="str">
        <f t="shared" si="1"/>
        <v/>
      </c>
      <c r="N15" s="14" t="str">
        <f>IFERROR(VLOOKUP(F15,'Menu &amp; Pricing'!$A$5:$I$54,6,FALSE),"")</f>
        <v/>
      </c>
      <c r="O15" s="9" t="str">
        <f t="shared" si="2"/>
        <v/>
      </c>
      <c r="P15" s="3"/>
      <c r="Q15" s="3"/>
      <c r="R15" s="3"/>
      <c r="S15" s="3"/>
      <c r="T15" s="3"/>
      <c r="U15" s="7">
        <f>IF(AND(A15&lt;&gt;"",Q15="Paid",R15="Completed",COUNTIFS($A$5:A15,A15,$B$5:B15,B15,$Q$5:Q15,"Paid",$R$5:R15,"Completed")=1),1,0)</f>
        <v>0</v>
      </c>
    </row>
    <row r="16" spans="1:21">
      <c r="A16" s="3"/>
      <c r="B16" s="4"/>
      <c r="C16" s="12"/>
      <c r="D16" s="3"/>
      <c r="E16" s="3"/>
      <c r="F16" s="3"/>
      <c r="G16" s="11" t="str">
        <f>IFERROR(VLOOKUP(F16,'Menu &amp; Pricing'!$A$5:$I$54,2,FALSE),"")</f>
        <v/>
      </c>
      <c r="H16" s="13"/>
      <c r="I16" s="14" t="str">
        <f>IFERROR(VLOOKUP(F16,'Menu &amp; Pricing'!$A$5:$I$54,5,FALSE),"")</f>
        <v/>
      </c>
      <c r="J16" s="8"/>
      <c r="K16" s="9" t="str">
        <f t="shared" si="0"/>
        <v/>
      </c>
      <c r="L16" s="8"/>
      <c r="M16" s="9" t="str">
        <f t="shared" si="1"/>
        <v/>
      </c>
      <c r="N16" s="14" t="str">
        <f>IFERROR(VLOOKUP(F16,'Menu &amp; Pricing'!$A$5:$I$54,6,FALSE),"")</f>
        <v/>
      </c>
      <c r="O16" s="9" t="str">
        <f t="shared" si="2"/>
        <v/>
      </c>
      <c r="P16" s="3"/>
      <c r="Q16" s="3"/>
      <c r="R16" s="3"/>
      <c r="S16" s="3"/>
      <c r="T16" s="3"/>
      <c r="U16" s="7">
        <f>IF(AND(A16&lt;&gt;"",Q16="Paid",R16="Completed",COUNTIFS($A$5:A16,A16,$B$5:B16,B16,$Q$5:Q16,"Paid",$R$5:R16,"Completed")=1),1,0)</f>
        <v>0</v>
      </c>
    </row>
    <row r="17" spans="1:21">
      <c r="A17" s="3"/>
      <c r="B17" s="4"/>
      <c r="C17" s="12"/>
      <c r="D17" s="3"/>
      <c r="E17" s="3"/>
      <c r="F17" s="3"/>
      <c r="G17" s="11" t="str">
        <f>IFERROR(VLOOKUP(F17,'Menu &amp; Pricing'!$A$5:$I$54,2,FALSE),"")</f>
        <v/>
      </c>
      <c r="H17" s="13"/>
      <c r="I17" s="14" t="str">
        <f>IFERROR(VLOOKUP(F17,'Menu &amp; Pricing'!$A$5:$I$54,5,FALSE),"")</f>
        <v/>
      </c>
      <c r="J17" s="8"/>
      <c r="K17" s="9" t="str">
        <f t="shared" si="0"/>
        <v/>
      </c>
      <c r="L17" s="8"/>
      <c r="M17" s="9" t="str">
        <f t="shared" si="1"/>
        <v/>
      </c>
      <c r="N17" s="14" t="str">
        <f>IFERROR(VLOOKUP(F17,'Menu &amp; Pricing'!$A$5:$I$54,6,FALSE),"")</f>
        <v/>
      </c>
      <c r="O17" s="9" t="str">
        <f t="shared" si="2"/>
        <v/>
      </c>
      <c r="P17" s="3"/>
      <c r="Q17" s="3"/>
      <c r="R17" s="3"/>
      <c r="S17" s="3"/>
      <c r="T17" s="3"/>
      <c r="U17" s="7">
        <f>IF(AND(A17&lt;&gt;"",Q17="Paid",R17="Completed",COUNTIFS($A$5:A17,A17,$B$5:B17,B17,$Q$5:Q17,"Paid",$R$5:R17,"Completed")=1),1,0)</f>
        <v>0</v>
      </c>
    </row>
    <row r="18" spans="1:21">
      <c r="A18" s="3"/>
      <c r="B18" s="4"/>
      <c r="C18" s="12"/>
      <c r="D18" s="3"/>
      <c r="E18" s="3"/>
      <c r="F18" s="3"/>
      <c r="G18" s="11" t="str">
        <f>IFERROR(VLOOKUP(F18,'Menu &amp; Pricing'!$A$5:$I$54,2,FALSE),"")</f>
        <v/>
      </c>
      <c r="H18" s="13"/>
      <c r="I18" s="14" t="str">
        <f>IFERROR(VLOOKUP(F18,'Menu &amp; Pricing'!$A$5:$I$54,5,FALSE),"")</f>
        <v/>
      </c>
      <c r="J18" s="8"/>
      <c r="K18" s="9" t="str">
        <f t="shared" si="0"/>
        <v/>
      </c>
      <c r="L18" s="8"/>
      <c r="M18" s="9" t="str">
        <f t="shared" si="1"/>
        <v/>
      </c>
      <c r="N18" s="14" t="str">
        <f>IFERROR(VLOOKUP(F18,'Menu &amp; Pricing'!$A$5:$I$54,6,FALSE),"")</f>
        <v/>
      </c>
      <c r="O18" s="9" t="str">
        <f t="shared" si="2"/>
        <v/>
      </c>
      <c r="P18" s="3"/>
      <c r="Q18" s="3"/>
      <c r="R18" s="3"/>
      <c r="S18" s="3"/>
      <c r="T18" s="3"/>
      <c r="U18" s="7">
        <f>IF(AND(A18&lt;&gt;"",Q18="Paid",R18="Completed",COUNTIFS($A$5:A18,A18,$B$5:B18,B18,$Q$5:Q18,"Paid",$R$5:R18,"Completed")=1),1,0)</f>
        <v>0</v>
      </c>
    </row>
    <row r="19" spans="1:21">
      <c r="A19" s="3"/>
      <c r="B19" s="4"/>
      <c r="C19" s="12"/>
      <c r="D19" s="3"/>
      <c r="E19" s="3"/>
      <c r="F19" s="3"/>
      <c r="G19" s="11" t="str">
        <f>IFERROR(VLOOKUP(F19,'Menu &amp; Pricing'!$A$5:$I$54,2,FALSE),"")</f>
        <v/>
      </c>
      <c r="H19" s="13"/>
      <c r="I19" s="14" t="str">
        <f>IFERROR(VLOOKUP(F19,'Menu &amp; Pricing'!$A$5:$I$54,5,FALSE),"")</f>
        <v/>
      </c>
      <c r="J19" s="8"/>
      <c r="K19" s="9" t="str">
        <f t="shared" si="0"/>
        <v/>
      </c>
      <c r="L19" s="8"/>
      <c r="M19" s="9" t="str">
        <f t="shared" si="1"/>
        <v/>
      </c>
      <c r="N19" s="14" t="str">
        <f>IFERROR(VLOOKUP(F19,'Menu &amp; Pricing'!$A$5:$I$54,6,FALSE),"")</f>
        <v/>
      </c>
      <c r="O19" s="9" t="str">
        <f t="shared" si="2"/>
        <v/>
      </c>
      <c r="P19" s="3"/>
      <c r="Q19" s="3"/>
      <c r="R19" s="3"/>
      <c r="S19" s="3"/>
      <c r="T19" s="3"/>
      <c r="U19" s="7">
        <f>IF(AND(A19&lt;&gt;"",Q19="Paid",R19="Completed",COUNTIFS($A$5:A19,A19,$B$5:B19,B19,$Q$5:Q19,"Paid",$R$5:R19,"Completed")=1),1,0)</f>
        <v>0</v>
      </c>
    </row>
    <row r="20" spans="1:21">
      <c r="A20" s="3"/>
      <c r="B20" s="4"/>
      <c r="C20" s="12"/>
      <c r="D20" s="3"/>
      <c r="E20" s="3"/>
      <c r="F20" s="3"/>
      <c r="G20" s="11" t="str">
        <f>IFERROR(VLOOKUP(F20,'Menu &amp; Pricing'!$A$5:$I$54,2,FALSE),"")</f>
        <v/>
      </c>
      <c r="H20" s="13"/>
      <c r="I20" s="14" t="str">
        <f>IFERROR(VLOOKUP(F20,'Menu &amp; Pricing'!$A$5:$I$54,5,FALSE),"")</f>
        <v/>
      </c>
      <c r="J20" s="8"/>
      <c r="K20" s="9" t="str">
        <f t="shared" si="0"/>
        <v/>
      </c>
      <c r="L20" s="8"/>
      <c r="M20" s="9" t="str">
        <f t="shared" si="1"/>
        <v/>
      </c>
      <c r="N20" s="14" t="str">
        <f>IFERROR(VLOOKUP(F20,'Menu &amp; Pricing'!$A$5:$I$54,6,FALSE),"")</f>
        <v/>
      </c>
      <c r="O20" s="9" t="str">
        <f t="shared" si="2"/>
        <v/>
      </c>
      <c r="P20" s="3"/>
      <c r="Q20" s="3"/>
      <c r="R20" s="3"/>
      <c r="S20" s="3"/>
      <c r="T20" s="3"/>
      <c r="U20" s="7">
        <f>IF(AND(A20&lt;&gt;"",Q20="Paid",R20="Completed",COUNTIFS($A$5:A20,A20,$B$5:B20,B20,$Q$5:Q20,"Paid",$R$5:R20,"Completed")=1),1,0)</f>
        <v>0</v>
      </c>
    </row>
    <row r="21" spans="1:21">
      <c r="A21" s="3"/>
      <c r="B21" s="4"/>
      <c r="C21" s="12"/>
      <c r="D21" s="3"/>
      <c r="E21" s="3"/>
      <c r="F21" s="3"/>
      <c r="G21" s="11" t="str">
        <f>IFERROR(VLOOKUP(F21,'Menu &amp; Pricing'!$A$5:$I$54,2,FALSE),"")</f>
        <v/>
      </c>
      <c r="H21" s="13"/>
      <c r="I21" s="14" t="str">
        <f>IFERROR(VLOOKUP(F21,'Menu &amp; Pricing'!$A$5:$I$54,5,FALSE),"")</f>
        <v/>
      </c>
      <c r="J21" s="8"/>
      <c r="K21" s="9" t="str">
        <f t="shared" si="0"/>
        <v/>
      </c>
      <c r="L21" s="8"/>
      <c r="M21" s="9" t="str">
        <f t="shared" si="1"/>
        <v/>
      </c>
      <c r="N21" s="14" t="str">
        <f>IFERROR(VLOOKUP(F21,'Menu &amp; Pricing'!$A$5:$I$54,6,FALSE),"")</f>
        <v/>
      </c>
      <c r="O21" s="9" t="str">
        <f t="shared" si="2"/>
        <v/>
      </c>
      <c r="P21" s="3"/>
      <c r="Q21" s="3"/>
      <c r="R21" s="3"/>
      <c r="S21" s="3"/>
      <c r="T21" s="3"/>
      <c r="U21" s="7">
        <f>IF(AND(A21&lt;&gt;"",Q21="Paid",R21="Completed",COUNTIFS($A$5:A21,A21,$B$5:B21,B21,$Q$5:Q21,"Paid",$R$5:R21,"Completed")=1),1,0)</f>
        <v>0</v>
      </c>
    </row>
    <row r="22" spans="1:21">
      <c r="A22" s="3"/>
      <c r="B22" s="4"/>
      <c r="C22" s="12"/>
      <c r="D22" s="3"/>
      <c r="E22" s="3"/>
      <c r="F22" s="3"/>
      <c r="G22" s="11" t="str">
        <f>IFERROR(VLOOKUP(F22,'Menu &amp; Pricing'!$A$5:$I$54,2,FALSE),"")</f>
        <v/>
      </c>
      <c r="H22" s="13"/>
      <c r="I22" s="14" t="str">
        <f>IFERROR(VLOOKUP(F22,'Menu &amp; Pricing'!$A$5:$I$54,5,FALSE),"")</f>
        <v/>
      </c>
      <c r="J22" s="8"/>
      <c r="K22" s="9" t="str">
        <f t="shared" si="0"/>
        <v/>
      </c>
      <c r="L22" s="8"/>
      <c r="M22" s="9" t="str">
        <f t="shared" si="1"/>
        <v/>
      </c>
      <c r="N22" s="14" t="str">
        <f>IFERROR(VLOOKUP(F22,'Menu &amp; Pricing'!$A$5:$I$54,6,FALSE),"")</f>
        <v/>
      </c>
      <c r="O22" s="9" t="str">
        <f t="shared" si="2"/>
        <v/>
      </c>
      <c r="P22" s="3"/>
      <c r="Q22" s="3"/>
      <c r="R22" s="3"/>
      <c r="S22" s="3"/>
      <c r="T22" s="3"/>
      <c r="U22" s="7">
        <f>IF(AND(A22&lt;&gt;"",Q22="Paid",R22="Completed",COUNTIFS($A$5:A22,A22,$B$5:B22,B22,$Q$5:Q22,"Paid",$R$5:R22,"Completed")=1),1,0)</f>
        <v>0</v>
      </c>
    </row>
    <row r="23" spans="1:21">
      <c r="A23" s="3"/>
      <c r="B23" s="4"/>
      <c r="C23" s="12"/>
      <c r="D23" s="3"/>
      <c r="E23" s="3"/>
      <c r="F23" s="3"/>
      <c r="G23" s="11" t="str">
        <f>IFERROR(VLOOKUP(F23,'Menu &amp; Pricing'!$A$5:$I$54,2,FALSE),"")</f>
        <v/>
      </c>
      <c r="H23" s="13"/>
      <c r="I23" s="14" t="str">
        <f>IFERROR(VLOOKUP(F23,'Menu &amp; Pricing'!$A$5:$I$54,5,FALSE),"")</f>
        <v/>
      </c>
      <c r="J23" s="8"/>
      <c r="K23" s="9" t="str">
        <f t="shared" si="0"/>
        <v/>
      </c>
      <c r="L23" s="8"/>
      <c r="M23" s="9" t="str">
        <f t="shared" si="1"/>
        <v/>
      </c>
      <c r="N23" s="14" t="str">
        <f>IFERROR(VLOOKUP(F23,'Menu &amp; Pricing'!$A$5:$I$54,6,FALSE),"")</f>
        <v/>
      </c>
      <c r="O23" s="9" t="str">
        <f t="shared" si="2"/>
        <v/>
      </c>
      <c r="P23" s="3"/>
      <c r="Q23" s="3"/>
      <c r="R23" s="3"/>
      <c r="S23" s="3"/>
      <c r="T23" s="3"/>
      <c r="U23" s="7">
        <f>IF(AND(A23&lt;&gt;"",Q23="Paid",R23="Completed",COUNTIFS($A$5:A23,A23,$B$5:B23,B23,$Q$5:Q23,"Paid",$R$5:R23,"Completed")=1),1,0)</f>
        <v>0</v>
      </c>
    </row>
    <row r="24" spans="1:21">
      <c r="A24" s="3"/>
      <c r="B24" s="4"/>
      <c r="C24" s="12"/>
      <c r="D24" s="3"/>
      <c r="E24" s="3"/>
      <c r="F24" s="3"/>
      <c r="G24" s="11" t="str">
        <f>IFERROR(VLOOKUP(F24,'Menu &amp; Pricing'!$A$5:$I$54,2,FALSE),"")</f>
        <v/>
      </c>
      <c r="H24" s="13"/>
      <c r="I24" s="14" t="str">
        <f>IFERROR(VLOOKUP(F24,'Menu &amp; Pricing'!$A$5:$I$54,5,FALSE),"")</f>
        <v/>
      </c>
      <c r="J24" s="8"/>
      <c r="K24" s="9" t="str">
        <f t="shared" si="0"/>
        <v/>
      </c>
      <c r="L24" s="8"/>
      <c r="M24" s="9" t="str">
        <f t="shared" si="1"/>
        <v/>
      </c>
      <c r="N24" s="14" t="str">
        <f>IFERROR(VLOOKUP(F24,'Menu &amp; Pricing'!$A$5:$I$54,6,FALSE),"")</f>
        <v/>
      </c>
      <c r="O24" s="9" t="str">
        <f t="shared" si="2"/>
        <v/>
      </c>
      <c r="P24" s="3"/>
      <c r="Q24" s="3"/>
      <c r="R24" s="3"/>
      <c r="S24" s="3"/>
      <c r="T24" s="3"/>
      <c r="U24" s="7">
        <f>IF(AND(A24&lt;&gt;"",Q24="Paid",R24="Completed",COUNTIFS($A$5:A24,A24,$B$5:B24,B24,$Q$5:Q24,"Paid",$R$5:R24,"Completed")=1),1,0)</f>
        <v>0</v>
      </c>
    </row>
    <row r="25" spans="1:21">
      <c r="A25" s="3"/>
      <c r="B25" s="4"/>
      <c r="C25" s="12"/>
      <c r="D25" s="3"/>
      <c r="E25" s="3"/>
      <c r="F25" s="3"/>
      <c r="G25" s="11" t="str">
        <f>IFERROR(VLOOKUP(F25,'Menu &amp; Pricing'!$A$5:$I$54,2,FALSE),"")</f>
        <v/>
      </c>
      <c r="H25" s="13"/>
      <c r="I25" s="14" t="str">
        <f>IFERROR(VLOOKUP(F25,'Menu &amp; Pricing'!$A$5:$I$54,5,FALSE),"")</f>
        <v/>
      </c>
      <c r="J25" s="8"/>
      <c r="K25" s="9" t="str">
        <f t="shared" si="0"/>
        <v/>
      </c>
      <c r="L25" s="8"/>
      <c r="M25" s="9" t="str">
        <f t="shared" si="1"/>
        <v/>
      </c>
      <c r="N25" s="14" t="str">
        <f>IFERROR(VLOOKUP(F25,'Menu &amp; Pricing'!$A$5:$I$54,6,FALSE),"")</f>
        <v/>
      </c>
      <c r="O25" s="9" t="str">
        <f t="shared" si="2"/>
        <v/>
      </c>
      <c r="P25" s="3"/>
      <c r="Q25" s="3"/>
      <c r="R25" s="3"/>
      <c r="S25" s="3"/>
      <c r="T25" s="3"/>
      <c r="U25" s="7">
        <f>IF(AND(A25&lt;&gt;"",Q25="Paid",R25="Completed",COUNTIFS($A$5:A25,A25,$B$5:B25,B25,$Q$5:Q25,"Paid",$R$5:R25,"Completed")=1),1,0)</f>
        <v>0</v>
      </c>
    </row>
    <row r="26" spans="1:21">
      <c r="A26" s="3"/>
      <c r="B26" s="4"/>
      <c r="C26" s="12"/>
      <c r="D26" s="3"/>
      <c r="E26" s="3"/>
      <c r="F26" s="3"/>
      <c r="G26" s="11" t="str">
        <f>IFERROR(VLOOKUP(F26,'Menu &amp; Pricing'!$A$5:$I$54,2,FALSE),"")</f>
        <v/>
      </c>
      <c r="H26" s="13"/>
      <c r="I26" s="14" t="str">
        <f>IFERROR(VLOOKUP(F26,'Menu &amp; Pricing'!$A$5:$I$54,5,FALSE),"")</f>
        <v/>
      </c>
      <c r="J26" s="8"/>
      <c r="K26" s="9" t="str">
        <f t="shared" si="0"/>
        <v/>
      </c>
      <c r="L26" s="8"/>
      <c r="M26" s="9" t="str">
        <f t="shared" si="1"/>
        <v/>
      </c>
      <c r="N26" s="14" t="str">
        <f>IFERROR(VLOOKUP(F26,'Menu &amp; Pricing'!$A$5:$I$54,6,FALSE),"")</f>
        <v/>
      </c>
      <c r="O26" s="9" t="str">
        <f t="shared" si="2"/>
        <v/>
      </c>
      <c r="P26" s="3"/>
      <c r="Q26" s="3"/>
      <c r="R26" s="3"/>
      <c r="S26" s="3"/>
      <c r="T26" s="3"/>
      <c r="U26" s="7">
        <f>IF(AND(A26&lt;&gt;"",Q26="Paid",R26="Completed",COUNTIFS($A$5:A26,A26,$B$5:B26,B26,$Q$5:Q26,"Paid",$R$5:R26,"Completed")=1),1,0)</f>
        <v>0</v>
      </c>
    </row>
    <row r="27" spans="1:21">
      <c r="A27" s="3"/>
      <c r="B27" s="4"/>
      <c r="C27" s="12"/>
      <c r="D27" s="3"/>
      <c r="E27" s="3"/>
      <c r="F27" s="3"/>
      <c r="G27" s="11" t="str">
        <f>IFERROR(VLOOKUP(F27,'Menu &amp; Pricing'!$A$5:$I$54,2,FALSE),"")</f>
        <v/>
      </c>
      <c r="H27" s="13"/>
      <c r="I27" s="14" t="str">
        <f>IFERROR(VLOOKUP(F27,'Menu &amp; Pricing'!$A$5:$I$54,5,FALSE),"")</f>
        <v/>
      </c>
      <c r="J27" s="8"/>
      <c r="K27" s="9" t="str">
        <f t="shared" si="0"/>
        <v/>
      </c>
      <c r="L27" s="8"/>
      <c r="M27" s="9" t="str">
        <f t="shared" si="1"/>
        <v/>
      </c>
      <c r="N27" s="14" t="str">
        <f>IFERROR(VLOOKUP(F27,'Menu &amp; Pricing'!$A$5:$I$54,6,FALSE),"")</f>
        <v/>
      </c>
      <c r="O27" s="9" t="str">
        <f t="shared" si="2"/>
        <v/>
      </c>
      <c r="P27" s="3"/>
      <c r="Q27" s="3"/>
      <c r="R27" s="3"/>
      <c r="S27" s="3"/>
      <c r="T27" s="3"/>
      <c r="U27" s="7">
        <f>IF(AND(A27&lt;&gt;"",Q27="Paid",R27="Completed",COUNTIFS($A$5:A27,A27,$B$5:B27,B27,$Q$5:Q27,"Paid",$R$5:R27,"Completed")=1),1,0)</f>
        <v>0</v>
      </c>
    </row>
    <row r="28" spans="1:21">
      <c r="A28" s="3"/>
      <c r="B28" s="4"/>
      <c r="C28" s="12"/>
      <c r="D28" s="3"/>
      <c r="E28" s="3"/>
      <c r="F28" s="3"/>
      <c r="G28" s="11" t="str">
        <f>IFERROR(VLOOKUP(F28,'Menu &amp; Pricing'!$A$5:$I$54,2,FALSE),"")</f>
        <v/>
      </c>
      <c r="H28" s="13"/>
      <c r="I28" s="14" t="str">
        <f>IFERROR(VLOOKUP(F28,'Menu &amp; Pricing'!$A$5:$I$54,5,FALSE),"")</f>
        <v/>
      </c>
      <c r="J28" s="8"/>
      <c r="K28" s="9" t="str">
        <f t="shared" si="0"/>
        <v/>
      </c>
      <c r="L28" s="8"/>
      <c r="M28" s="9" t="str">
        <f t="shared" si="1"/>
        <v/>
      </c>
      <c r="N28" s="14" t="str">
        <f>IFERROR(VLOOKUP(F28,'Menu &amp; Pricing'!$A$5:$I$54,6,FALSE),"")</f>
        <v/>
      </c>
      <c r="O28" s="9" t="str">
        <f t="shared" si="2"/>
        <v/>
      </c>
      <c r="P28" s="3"/>
      <c r="Q28" s="3"/>
      <c r="R28" s="3"/>
      <c r="S28" s="3"/>
      <c r="T28" s="3"/>
      <c r="U28" s="7">
        <f>IF(AND(A28&lt;&gt;"",Q28="Paid",R28="Completed",COUNTIFS($A$5:A28,A28,$B$5:B28,B28,$Q$5:Q28,"Paid",$R$5:R28,"Completed")=1),1,0)</f>
        <v>0</v>
      </c>
    </row>
    <row r="29" spans="1:21">
      <c r="A29" s="3"/>
      <c r="B29" s="4"/>
      <c r="C29" s="12"/>
      <c r="D29" s="3"/>
      <c r="E29" s="3"/>
      <c r="F29" s="3"/>
      <c r="G29" s="11" t="str">
        <f>IFERROR(VLOOKUP(F29,'Menu &amp; Pricing'!$A$5:$I$54,2,FALSE),"")</f>
        <v/>
      </c>
      <c r="H29" s="13"/>
      <c r="I29" s="14" t="str">
        <f>IFERROR(VLOOKUP(F29,'Menu &amp; Pricing'!$A$5:$I$54,5,FALSE),"")</f>
        <v/>
      </c>
      <c r="J29" s="8"/>
      <c r="K29" s="9" t="str">
        <f t="shared" si="0"/>
        <v/>
      </c>
      <c r="L29" s="8"/>
      <c r="M29" s="9" t="str">
        <f t="shared" si="1"/>
        <v/>
      </c>
      <c r="N29" s="14" t="str">
        <f>IFERROR(VLOOKUP(F29,'Menu &amp; Pricing'!$A$5:$I$54,6,FALSE),"")</f>
        <v/>
      </c>
      <c r="O29" s="9" t="str">
        <f t="shared" si="2"/>
        <v/>
      </c>
      <c r="P29" s="3"/>
      <c r="Q29" s="3"/>
      <c r="R29" s="3"/>
      <c r="S29" s="3"/>
      <c r="T29" s="3"/>
      <c r="U29" s="7">
        <f>IF(AND(A29&lt;&gt;"",Q29="Paid",R29="Completed",COUNTIFS($A$5:A29,A29,$B$5:B29,B29,$Q$5:Q29,"Paid",$R$5:R29,"Completed")=1),1,0)</f>
        <v>0</v>
      </c>
    </row>
    <row r="30" spans="1:21">
      <c r="A30" s="3"/>
      <c r="B30" s="4"/>
      <c r="C30" s="12"/>
      <c r="D30" s="3"/>
      <c r="E30" s="3"/>
      <c r="F30" s="3"/>
      <c r="G30" s="11" t="str">
        <f>IFERROR(VLOOKUP(F30,'Menu &amp; Pricing'!$A$5:$I$54,2,FALSE),"")</f>
        <v/>
      </c>
      <c r="H30" s="13"/>
      <c r="I30" s="14" t="str">
        <f>IFERROR(VLOOKUP(F30,'Menu &amp; Pricing'!$A$5:$I$54,5,FALSE),"")</f>
        <v/>
      </c>
      <c r="J30" s="8"/>
      <c r="K30" s="9" t="str">
        <f t="shared" si="0"/>
        <v/>
      </c>
      <c r="L30" s="8"/>
      <c r="M30" s="9" t="str">
        <f t="shared" si="1"/>
        <v/>
      </c>
      <c r="N30" s="14" t="str">
        <f>IFERROR(VLOOKUP(F30,'Menu &amp; Pricing'!$A$5:$I$54,6,FALSE),"")</f>
        <v/>
      </c>
      <c r="O30" s="9" t="str">
        <f t="shared" si="2"/>
        <v/>
      </c>
      <c r="P30" s="3"/>
      <c r="Q30" s="3"/>
      <c r="R30" s="3"/>
      <c r="S30" s="3"/>
      <c r="T30" s="3"/>
      <c r="U30" s="7">
        <f>IF(AND(A30&lt;&gt;"",Q30="Paid",R30="Completed",COUNTIFS($A$5:A30,A30,$B$5:B30,B30,$Q$5:Q30,"Paid",$R$5:R30,"Completed")=1),1,0)</f>
        <v>0</v>
      </c>
    </row>
    <row r="31" spans="1:21">
      <c r="A31" s="3"/>
      <c r="B31" s="4"/>
      <c r="C31" s="12"/>
      <c r="D31" s="3"/>
      <c r="E31" s="3"/>
      <c r="F31" s="3"/>
      <c r="G31" s="11" t="str">
        <f>IFERROR(VLOOKUP(F31,'Menu &amp; Pricing'!$A$5:$I$54,2,FALSE),"")</f>
        <v/>
      </c>
      <c r="H31" s="13"/>
      <c r="I31" s="14" t="str">
        <f>IFERROR(VLOOKUP(F31,'Menu &amp; Pricing'!$A$5:$I$54,5,FALSE),"")</f>
        <v/>
      </c>
      <c r="J31" s="8"/>
      <c r="K31" s="9" t="str">
        <f t="shared" si="0"/>
        <v/>
      </c>
      <c r="L31" s="8"/>
      <c r="M31" s="9" t="str">
        <f t="shared" si="1"/>
        <v/>
      </c>
      <c r="N31" s="14" t="str">
        <f>IFERROR(VLOOKUP(F31,'Menu &amp; Pricing'!$A$5:$I$54,6,FALSE),"")</f>
        <v/>
      </c>
      <c r="O31" s="9" t="str">
        <f t="shared" si="2"/>
        <v/>
      </c>
      <c r="P31" s="3"/>
      <c r="Q31" s="3"/>
      <c r="R31" s="3"/>
      <c r="S31" s="3"/>
      <c r="T31" s="3"/>
      <c r="U31" s="7">
        <f>IF(AND(A31&lt;&gt;"",Q31="Paid",R31="Completed",COUNTIFS($A$5:A31,A31,$B$5:B31,B31,$Q$5:Q31,"Paid",$R$5:R31,"Completed")=1),1,0)</f>
        <v>0</v>
      </c>
    </row>
    <row r="32" spans="1:21">
      <c r="A32" s="3"/>
      <c r="B32" s="4"/>
      <c r="C32" s="12"/>
      <c r="D32" s="3"/>
      <c r="E32" s="3"/>
      <c r="F32" s="3"/>
      <c r="G32" s="11" t="str">
        <f>IFERROR(VLOOKUP(F32,'Menu &amp; Pricing'!$A$5:$I$54,2,FALSE),"")</f>
        <v/>
      </c>
      <c r="H32" s="13"/>
      <c r="I32" s="14" t="str">
        <f>IFERROR(VLOOKUP(F32,'Menu &amp; Pricing'!$A$5:$I$54,5,FALSE),"")</f>
        <v/>
      </c>
      <c r="J32" s="8"/>
      <c r="K32" s="9" t="str">
        <f t="shared" si="0"/>
        <v/>
      </c>
      <c r="L32" s="8"/>
      <c r="M32" s="9" t="str">
        <f t="shared" si="1"/>
        <v/>
      </c>
      <c r="N32" s="14" t="str">
        <f>IFERROR(VLOOKUP(F32,'Menu &amp; Pricing'!$A$5:$I$54,6,FALSE),"")</f>
        <v/>
      </c>
      <c r="O32" s="9" t="str">
        <f t="shared" si="2"/>
        <v/>
      </c>
      <c r="P32" s="3"/>
      <c r="Q32" s="3"/>
      <c r="R32" s="3"/>
      <c r="S32" s="3"/>
      <c r="T32" s="3"/>
      <c r="U32" s="7">
        <f>IF(AND(A32&lt;&gt;"",Q32="Paid",R32="Completed",COUNTIFS($A$5:A32,A32,$B$5:B32,B32,$Q$5:Q32,"Paid",$R$5:R32,"Completed")=1),1,0)</f>
        <v>0</v>
      </c>
    </row>
    <row r="33" spans="1:21">
      <c r="A33" s="3"/>
      <c r="B33" s="4"/>
      <c r="C33" s="12"/>
      <c r="D33" s="3"/>
      <c r="E33" s="3"/>
      <c r="F33" s="3"/>
      <c r="G33" s="11" t="str">
        <f>IFERROR(VLOOKUP(F33,'Menu &amp; Pricing'!$A$5:$I$54,2,FALSE),"")</f>
        <v/>
      </c>
      <c r="H33" s="13"/>
      <c r="I33" s="14" t="str">
        <f>IFERROR(VLOOKUP(F33,'Menu &amp; Pricing'!$A$5:$I$54,5,FALSE),"")</f>
        <v/>
      </c>
      <c r="J33" s="8"/>
      <c r="K33" s="9" t="str">
        <f t="shared" si="0"/>
        <v/>
      </c>
      <c r="L33" s="8"/>
      <c r="M33" s="9" t="str">
        <f t="shared" si="1"/>
        <v/>
      </c>
      <c r="N33" s="14" t="str">
        <f>IFERROR(VLOOKUP(F33,'Menu &amp; Pricing'!$A$5:$I$54,6,FALSE),"")</f>
        <v/>
      </c>
      <c r="O33" s="9" t="str">
        <f t="shared" si="2"/>
        <v/>
      </c>
      <c r="P33" s="3"/>
      <c r="Q33" s="3"/>
      <c r="R33" s="3"/>
      <c r="S33" s="3"/>
      <c r="T33" s="3"/>
      <c r="U33" s="7">
        <f>IF(AND(A33&lt;&gt;"",Q33="Paid",R33="Completed",COUNTIFS($A$5:A33,A33,$B$5:B33,B33,$Q$5:Q33,"Paid",$R$5:R33,"Completed")=1),1,0)</f>
        <v>0</v>
      </c>
    </row>
    <row r="34" spans="1:21">
      <c r="A34" s="3"/>
      <c r="B34" s="4"/>
      <c r="C34" s="12"/>
      <c r="D34" s="3"/>
      <c r="E34" s="3"/>
      <c r="F34" s="3"/>
      <c r="G34" s="11" t="str">
        <f>IFERROR(VLOOKUP(F34,'Menu &amp; Pricing'!$A$5:$I$54,2,FALSE),"")</f>
        <v/>
      </c>
      <c r="H34" s="13"/>
      <c r="I34" s="14" t="str">
        <f>IFERROR(VLOOKUP(F34,'Menu &amp; Pricing'!$A$5:$I$54,5,FALSE),"")</f>
        <v/>
      </c>
      <c r="J34" s="8"/>
      <c r="K34" s="9" t="str">
        <f t="shared" si="0"/>
        <v/>
      </c>
      <c r="L34" s="8"/>
      <c r="M34" s="9" t="str">
        <f t="shared" si="1"/>
        <v/>
      </c>
      <c r="N34" s="14" t="str">
        <f>IFERROR(VLOOKUP(F34,'Menu &amp; Pricing'!$A$5:$I$54,6,FALSE),"")</f>
        <v/>
      </c>
      <c r="O34" s="9" t="str">
        <f t="shared" si="2"/>
        <v/>
      </c>
      <c r="P34" s="3"/>
      <c r="Q34" s="3"/>
      <c r="R34" s="3"/>
      <c r="S34" s="3"/>
      <c r="T34" s="3"/>
      <c r="U34" s="7">
        <f>IF(AND(A34&lt;&gt;"",Q34="Paid",R34="Completed",COUNTIFS($A$5:A34,A34,$B$5:B34,B34,$Q$5:Q34,"Paid",$R$5:R34,"Completed")=1),1,0)</f>
        <v>0</v>
      </c>
    </row>
    <row r="35" spans="1:21">
      <c r="A35" s="3"/>
      <c r="B35" s="4"/>
      <c r="C35" s="12"/>
      <c r="D35" s="3"/>
      <c r="E35" s="3"/>
      <c r="F35" s="3"/>
      <c r="G35" s="11" t="str">
        <f>IFERROR(VLOOKUP(F35,'Menu &amp; Pricing'!$A$5:$I$54,2,FALSE),"")</f>
        <v/>
      </c>
      <c r="H35" s="13"/>
      <c r="I35" s="14" t="str">
        <f>IFERROR(VLOOKUP(F35,'Menu &amp; Pricing'!$A$5:$I$54,5,FALSE),"")</f>
        <v/>
      </c>
      <c r="J35" s="8"/>
      <c r="K35" s="9" t="str">
        <f t="shared" si="0"/>
        <v/>
      </c>
      <c r="L35" s="8"/>
      <c r="M35" s="9" t="str">
        <f t="shared" si="1"/>
        <v/>
      </c>
      <c r="N35" s="14" t="str">
        <f>IFERROR(VLOOKUP(F35,'Menu &amp; Pricing'!$A$5:$I$54,6,FALSE),"")</f>
        <v/>
      </c>
      <c r="O35" s="9" t="str">
        <f t="shared" si="2"/>
        <v/>
      </c>
      <c r="P35" s="3"/>
      <c r="Q35" s="3"/>
      <c r="R35" s="3"/>
      <c r="S35" s="3"/>
      <c r="T35" s="3"/>
      <c r="U35" s="7">
        <f>IF(AND(A35&lt;&gt;"",Q35="Paid",R35="Completed",COUNTIFS($A$5:A35,A35,$B$5:B35,B35,$Q$5:Q35,"Paid",$R$5:R35,"Completed")=1),1,0)</f>
        <v>0</v>
      </c>
    </row>
    <row r="36" spans="1:21">
      <c r="A36" s="3"/>
      <c r="B36" s="4"/>
      <c r="C36" s="12"/>
      <c r="D36" s="3"/>
      <c r="E36" s="3"/>
      <c r="F36" s="3"/>
      <c r="G36" s="11" t="str">
        <f>IFERROR(VLOOKUP(F36,'Menu &amp; Pricing'!$A$5:$I$54,2,FALSE),"")</f>
        <v/>
      </c>
      <c r="H36" s="13"/>
      <c r="I36" s="14" t="str">
        <f>IFERROR(VLOOKUP(F36,'Menu &amp; Pricing'!$A$5:$I$54,5,FALSE),"")</f>
        <v/>
      </c>
      <c r="J36" s="8"/>
      <c r="K36" s="9" t="str">
        <f t="shared" si="0"/>
        <v/>
      </c>
      <c r="L36" s="8"/>
      <c r="M36" s="9" t="str">
        <f t="shared" si="1"/>
        <v/>
      </c>
      <c r="N36" s="14" t="str">
        <f>IFERROR(VLOOKUP(F36,'Menu &amp; Pricing'!$A$5:$I$54,6,FALSE),"")</f>
        <v/>
      </c>
      <c r="O36" s="9" t="str">
        <f t="shared" si="2"/>
        <v/>
      </c>
      <c r="P36" s="3"/>
      <c r="Q36" s="3"/>
      <c r="R36" s="3"/>
      <c r="S36" s="3"/>
      <c r="T36" s="3"/>
      <c r="U36" s="7">
        <f>IF(AND(A36&lt;&gt;"",Q36="Paid",R36="Completed",COUNTIFS($A$5:A36,A36,$B$5:B36,B36,$Q$5:Q36,"Paid",$R$5:R36,"Completed")=1),1,0)</f>
        <v>0</v>
      </c>
    </row>
    <row r="37" spans="1:21">
      <c r="A37" s="3"/>
      <c r="B37" s="4"/>
      <c r="C37" s="12"/>
      <c r="D37" s="3"/>
      <c r="E37" s="3"/>
      <c r="F37" s="3"/>
      <c r="G37" s="11" t="str">
        <f>IFERROR(VLOOKUP(F37,'Menu &amp; Pricing'!$A$5:$I$54,2,FALSE),"")</f>
        <v/>
      </c>
      <c r="H37" s="13"/>
      <c r="I37" s="14" t="str">
        <f>IFERROR(VLOOKUP(F37,'Menu &amp; Pricing'!$A$5:$I$54,5,FALSE),"")</f>
        <v/>
      </c>
      <c r="J37" s="8"/>
      <c r="K37" s="9" t="str">
        <f t="shared" ref="K37:K68" si="3">IF(OR(H37="",I37=""),"",H37*I37+IF(J37="",0,J37))</f>
        <v/>
      </c>
      <c r="L37" s="8"/>
      <c r="M37" s="9" t="str">
        <f t="shared" ref="M37:M68" si="4">IF(K37="","",MAX(0,K37-IF(L37="",0,L37)))</f>
        <v/>
      </c>
      <c r="N37" s="14" t="str">
        <f>IFERROR(VLOOKUP(F37,'Menu &amp; Pricing'!$A$5:$I$54,6,FALSE),"")</f>
        <v/>
      </c>
      <c r="O37" s="9" t="str">
        <f t="shared" ref="O37:O68" si="5">IF(OR(H37="",N37=""),"",H37*N37)</f>
        <v/>
      </c>
      <c r="P37" s="3"/>
      <c r="Q37" s="3"/>
      <c r="R37" s="3"/>
      <c r="S37" s="3"/>
      <c r="T37" s="3"/>
      <c r="U37" s="7">
        <f>IF(AND(A37&lt;&gt;"",Q37="Paid",R37="Completed",COUNTIFS($A$5:A37,A37,$B$5:B37,B37,$Q$5:Q37,"Paid",$R$5:R37,"Completed")=1),1,0)</f>
        <v>0</v>
      </c>
    </row>
    <row r="38" spans="1:21">
      <c r="A38" s="3"/>
      <c r="B38" s="4"/>
      <c r="C38" s="12"/>
      <c r="D38" s="3"/>
      <c r="E38" s="3"/>
      <c r="F38" s="3"/>
      <c r="G38" s="11" t="str">
        <f>IFERROR(VLOOKUP(F38,'Menu &amp; Pricing'!$A$5:$I$54,2,FALSE),"")</f>
        <v/>
      </c>
      <c r="H38" s="13"/>
      <c r="I38" s="14" t="str">
        <f>IFERROR(VLOOKUP(F38,'Menu &amp; Pricing'!$A$5:$I$54,5,FALSE),"")</f>
        <v/>
      </c>
      <c r="J38" s="8"/>
      <c r="K38" s="9" t="str">
        <f t="shared" si="3"/>
        <v/>
      </c>
      <c r="L38" s="8"/>
      <c r="M38" s="9" t="str">
        <f t="shared" si="4"/>
        <v/>
      </c>
      <c r="N38" s="14" t="str">
        <f>IFERROR(VLOOKUP(F38,'Menu &amp; Pricing'!$A$5:$I$54,6,FALSE),"")</f>
        <v/>
      </c>
      <c r="O38" s="9" t="str">
        <f t="shared" si="5"/>
        <v/>
      </c>
      <c r="P38" s="3"/>
      <c r="Q38" s="3"/>
      <c r="R38" s="3"/>
      <c r="S38" s="3"/>
      <c r="T38" s="3"/>
      <c r="U38" s="7">
        <f>IF(AND(A38&lt;&gt;"",Q38="Paid",R38="Completed",COUNTIFS($A$5:A38,A38,$B$5:B38,B38,$Q$5:Q38,"Paid",$R$5:R38,"Completed")=1),1,0)</f>
        <v>0</v>
      </c>
    </row>
    <row r="39" spans="1:21">
      <c r="A39" s="3"/>
      <c r="B39" s="4"/>
      <c r="C39" s="12"/>
      <c r="D39" s="3"/>
      <c r="E39" s="3"/>
      <c r="F39" s="3"/>
      <c r="G39" s="11" t="str">
        <f>IFERROR(VLOOKUP(F39,'Menu &amp; Pricing'!$A$5:$I$54,2,FALSE),"")</f>
        <v/>
      </c>
      <c r="H39" s="13"/>
      <c r="I39" s="14" t="str">
        <f>IFERROR(VLOOKUP(F39,'Menu &amp; Pricing'!$A$5:$I$54,5,FALSE),"")</f>
        <v/>
      </c>
      <c r="J39" s="8"/>
      <c r="K39" s="9" t="str">
        <f t="shared" si="3"/>
        <v/>
      </c>
      <c r="L39" s="8"/>
      <c r="M39" s="9" t="str">
        <f t="shared" si="4"/>
        <v/>
      </c>
      <c r="N39" s="14" t="str">
        <f>IFERROR(VLOOKUP(F39,'Menu &amp; Pricing'!$A$5:$I$54,6,FALSE),"")</f>
        <v/>
      </c>
      <c r="O39" s="9" t="str">
        <f t="shared" si="5"/>
        <v/>
      </c>
      <c r="P39" s="3"/>
      <c r="Q39" s="3"/>
      <c r="R39" s="3"/>
      <c r="S39" s="3"/>
      <c r="T39" s="3"/>
      <c r="U39" s="7">
        <f>IF(AND(A39&lt;&gt;"",Q39="Paid",R39="Completed",COUNTIFS($A$5:A39,A39,$B$5:B39,B39,$Q$5:Q39,"Paid",$R$5:R39,"Completed")=1),1,0)</f>
        <v>0</v>
      </c>
    </row>
    <row r="40" spans="1:21">
      <c r="A40" s="3"/>
      <c r="B40" s="4"/>
      <c r="C40" s="12"/>
      <c r="D40" s="3"/>
      <c r="E40" s="3"/>
      <c r="F40" s="3"/>
      <c r="G40" s="11" t="str">
        <f>IFERROR(VLOOKUP(F40,'Menu &amp; Pricing'!$A$5:$I$54,2,FALSE),"")</f>
        <v/>
      </c>
      <c r="H40" s="13"/>
      <c r="I40" s="14" t="str">
        <f>IFERROR(VLOOKUP(F40,'Menu &amp; Pricing'!$A$5:$I$54,5,FALSE),"")</f>
        <v/>
      </c>
      <c r="J40" s="8"/>
      <c r="K40" s="9" t="str">
        <f t="shared" si="3"/>
        <v/>
      </c>
      <c r="L40" s="8"/>
      <c r="M40" s="9" t="str">
        <f t="shared" si="4"/>
        <v/>
      </c>
      <c r="N40" s="14" t="str">
        <f>IFERROR(VLOOKUP(F40,'Menu &amp; Pricing'!$A$5:$I$54,6,FALSE),"")</f>
        <v/>
      </c>
      <c r="O40" s="9" t="str">
        <f t="shared" si="5"/>
        <v/>
      </c>
      <c r="P40" s="3"/>
      <c r="Q40" s="3"/>
      <c r="R40" s="3"/>
      <c r="S40" s="3"/>
      <c r="T40" s="3"/>
      <c r="U40" s="7">
        <f>IF(AND(A40&lt;&gt;"",Q40="Paid",R40="Completed",COUNTIFS($A$5:A40,A40,$B$5:B40,B40,$Q$5:Q40,"Paid",$R$5:R40,"Completed")=1),1,0)</f>
        <v>0</v>
      </c>
    </row>
    <row r="41" spans="1:21">
      <c r="A41" s="3"/>
      <c r="B41" s="4"/>
      <c r="C41" s="12"/>
      <c r="D41" s="3"/>
      <c r="E41" s="3"/>
      <c r="F41" s="3"/>
      <c r="G41" s="11" t="str">
        <f>IFERROR(VLOOKUP(F41,'Menu &amp; Pricing'!$A$5:$I$54,2,FALSE),"")</f>
        <v/>
      </c>
      <c r="H41" s="13"/>
      <c r="I41" s="14" t="str">
        <f>IFERROR(VLOOKUP(F41,'Menu &amp; Pricing'!$A$5:$I$54,5,FALSE),"")</f>
        <v/>
      </c>
      <c r="J41" s="8"/>
      <c r="K41" s="9" t="str">
        <f t="shared" si="3"/>
        <v/>
      </c>
      <c r="L41" s="8"/>
      <c r="M41" s="9" t="str">
        <f t="shared" si="4"/>
        <v/>
      </c>
      <c r="N41" s="14" t="str">
        <f>IFERROR(VLOOKUP(F41,'Menu &amp; Pricing'!$A$5:$I$54,6,FALSE),"")</f>
        <v/>
      </c>
      <c r="O41" s="9" t="str">
        <f t="shared" si="5"/>
        <v/>
      </c>
      <c r="P41" s="3"/>
      <c r="Q41" s="3"/>
      <c r="R41" s="3"/>
      <c r="S41" s="3"/>
      <c r="T41" s="3"/>
      <c r="U41" s="7">
        <f>IF(AND(A41&lt;&gt;"",Q41="Paid",R41="Completed",COUNTIFS($A$5:A41,A41,$B$5:B41,B41,$Q$5:Q41,"Paid",$R$5:R41,"Completed")=1),1,0)</f>
        <v>0</v>
      </c>
    </row>
    <row r="42" spans="1:21">
      <c r="A42" s="3"/>
      <c r="B42" s="4"/>
      <c r="C42" s="12"/>
      <c r="D42" s="3"/>
      <c r="E42" s="3"/>
      <c r="F42" s="3"/>
      <c r="G42" s="11" t="str">
        <f>IFERROR(VLOOKUP(F42,'Menu &amp; Pricing'!$A$5:$I$54,2,FALSE),"")</f>
        <v/>
      </c>
      <c r="H42" s="13"/>
      <c r="I42" s="14" t="str">
        <f>IFERROR(VLOOKUP(F42,'Menu &amp; Pricing'!$A$5:$I$54,5,FALSE),"")</f>
        <v/>
      </c>
      <c r="J42" s="8"/>
      <c r="K42" s="9" t="str">
        <f t="shared" si="3"/>
        <v/>
      </c>
      <c r="L42" s="8"/>
      <c r="M42" s="9" t="str">
        <f t="shared" si="4"/>
        <v/>
      </c>
      <c r="N42" s="14" t="str">
        <f>IFERROR(VLOOKUP(F42,'Menu &amp; Pricing'!$A$5:$I$54,6,FALSE),"")</f>
        <v/>
      </c>
      <c r="O42" s="9" t="str">
        <f t="shared" si="5"/>
        <v/>
      </c>
      <c r="P42" s="3"/>
      <c r="Q42" s="3"/>
      <c r="R42" s="3"/>
      <c r="S42" s="3"/>
      <c r="T42" s="3"/>
      <c r="U42" s="7">
        <f>IF(AND(A42&lt;&gt;"",Q42="Paid",R42="Completed",COUNTIFS($A$5:A42,A42,$B$5:B42,B42,$Q$5:Q42,"Paid",$R$5:R42,"Completed")=1),1,0)</f>
        <v>0</v>
      </c>
    </row>
    <row r="43" spans="1:21">
      <c r="A43" s="3"/>
      <c r="B43" s="4"/>
      <c r="C43" s="12"/>
      <c r="D43" s="3"/>
      <c r="E43" s="3"/>
      <c r="F43" s="3"/>
      <c r="G43" s="11" t="str">
        <f>IFERROR(VLOOKUP(F43,'Menu &amp; Pricing'!$A$5:$I$54,2,FALSE),"")</f>
        <v/>
      </c>
      <c r="H43" s="13"/>
      <c r="I43" s="14" t="str">
        <f>IFERROR(VLOOKUP(F43,'Menu &amp; Pricing'!$A$5:$I$54,5,FALSE),"")</f>
        <v/>
      </c>
      <c r="J43" s="8"/>
      <c r="K43" s="9" t="str">
        <f t="shared" si="3"/>
        <v/>
      </c>
      <c r="L43" s="8"/>
      <c r="M43" s="9" t="str">
        <f t="shared" si="4"/>
        <v/>
      </c>
      <c r="N43" s="14" t="str">
        <f>IFERROR(VLOOKUP(F43,'Menu &amp; Pricing'!$A$5:$I$54,6,FALSE),"")</f>
        <v/>
      </c>
      <c r="O43" s="9" t="str">
        <f t="shared" si="5"/>
        <v/>
      </c>
      <c r="P43" s="3"/>
      <c r="Q43" s="3"/>
      <c r="R43" s="3"/>
      <c r="S43" s="3"/>
      <c r="T43" s="3"/>
      <c r="U43" s="7">
        <f>IF(AND(A43&lt;&gt;"",Q43="Paid",R43="Completed",COUNTIFS($A$5:A43,A43,$B$5:B43,B43,$Q$5:Q43,"Paid",$R$5:R43,"Completed")=1),1,0)</f>
        <v>0</v>
      </c>
    </row>
    <row r="44" spans="1:21">
      <c r="A44" s="3"/>
      <c r="B44" s="4"/>
      <c r="C44" s="12"/>
      <c r="D44" s="3"/>
      <c r="E44" s="3"/>
      <c r="F44" s="3"/>
      <c r="G44" s="11" t="str">
        <f>IFERROR(VLOOKUP(F44,'Menu &amp; Pricing'!$A$5:$I$54,2,FALSE),"")</f>
        <v/>
      </c>
      <c r="H44" s="13"/>
      <c r="I44" s="14" t="str">
        <f>IFERROR(VLOOKUP(F44,'Menu &amp; Pricing'!$A$5:$I$54,5,FALSE),"")</f>
        <v/>
      </c>
      <c r="J44" s="8"/>
      <c r="K44" s="9" t="str">
        <f t="shared" si="3"/>
        <v/>
      </c>
      <c r="L44" s="8"/>
      <c r="M44" s="9" t="str">
        <f t="shared" si="4"/>
        <v/>
      </c>
      <c r="N44" s="14" t="str">
        <f>IFERROR(VLOOKUP(F44,'Menu &amp; Pricing'!$A$5:$I$54,6,FALSE),"")</f>
        <v/>
      </c>
      <c r="O44" s="9" t="str">
        <f t="shared" si="5"/>
        <v/>
      </c>
      <c r="P44" s="3"/>
      <c r="Q44" s="3"/>
      <c r="R44" s="3"/>
      <c r="S44" s="3"/>
      <c r="T44" s="3"/>
      <c r="U44" s="7">
        <f>IF(AND(A44&lt;&gt;"",Q44="Paid",R44="Completed",COUNTIFS($A$5:A44,A44,$B$5:B44,B44,$Q$5:Q44,"Paid",$R$5:R44,"Completed")=1),1,0)</f>
        <v>0</v>
      </c>
    </row>
    <row r="45" spans="1:21">
      <c r="A45" s="3"/>
      <c r="B45" s="4"/>
      <c r="C45" s="12"/>
      <c r="D45" s="3"/>
      <c r="E45" s="3"/>
      <c r="F45" s="3"/>
      <c r="G45" s="11" t="str">
        <f>IFERROR(VLOOKUP(F45,'Menu &amp; Pricing'!$A$5:$I$54,2,FALSE),"")</f>
        <v/>
      </c>
      <c r="H45" s="13"/>
      <c r="I45" s="14" t="str">
        <f>IFERROR(VLOOKUP(F45,'Menu &amp; Pricing'!$A$5:$I$54,5,FALSE),"")</f>
        <v/>
      </c>
      <c r="J45" s="8"/>
      <c r="K45" s="9" t="str">
        <f t="shared" si="3"/>
        <v/>
      </c>
      <c r="L45" s="8"/>
      <c r="M45" s="9" t="str">
        <f t="shared" si="4"/>
        <v/>
      </c>
      <c r="N45" s="14" t="str">
        <f>IFERROR(VLOOKUP(F45,'Menu &amp; Pricing'!$A$5:$I$54,6,FALSE),"")</f>
        <v/>
      </c>
      <c r="O45" s="9" t="str">
        <f t="shared" si="5"/>
        <v/>
      </c>
      <c r="P45" s="3"/>
      <c r="Q45" s="3"/>
      <c r="R45" s="3"/>
      <c r="S45" s="3"/>
      <c r="T45" s="3"/>
      <c r="U45" s="7">
        <f>IF(AND(A45&lt;&gt;"",Q45="Paid",R45="Completed",COUNTIFS($A$5:A45,A45,$B$5:B45,B45,$Q$5:Q45,"Paid",$R$5:R45,"Completed")=1),1,0)</f>
        <v>0</v>
      </c>
    </row>
    <row r="46" spans="1:21">
      <c r="A46" s="3"/>
      <c r="B46" s="4"/>
      <c r="C46" s="12"/>
      <c r="D46" s="3"/>
      <c r="E46" s="3"/>
      <c r="F46" s="3"/>
      <c r="G46" s="11" t="str">
        <f>IFERROR(VLOOKUP(F46,'Menu &amp; Pricing'!$A$5:$I$54,2,FALSE),"")</f>
        <v/>
      </c>
      <c r="H46" s="13"/>
      <c r="I46" s="14" t="str">
        <f>IFERROR(VLOOKUP(F46,'Menu &amp; Pricing'!$A$5:$I$54,5,FALSE),"")</f>
        <v/>
      </c>
      <c r="J46" s="8"/>
      <c r="K46" s="9" t="str">
        <f t="shared" si="3"/>
        <v/>
      </c>
      <c r="L46" s="8"/>
      <c r="M46" s="9" t="str">
        <f t="shared" si="4"/>
        <v/>
      </c>
      <c r="N46" s="14" t="str">
        <f>IFERROR(VLOOKUP(F46,'Menu &amp; Pricing'!$A$5:$I$54,6,FALSE),"")</f>
        <v/>
      </c>
      <c r="O46" s="9" t="str">
        <f t="shared" si="5"/>
        <v/>
      </c>
      <c r="P46" s="3"/>
      <c r="Q46" s="3"/>
      <c r="R46" s="3"/>
      <c r="S46" s="3"/>
      <c r="T46" s="3"/>
      <c r="U46" s="7">
        <f>IF(AND(A46&lt;&gt;"",Q46="Paid",R46="Completed",COUNTIFS($A$5:A46,A46,$B$5:B46,B46,$Q$5:Q46,"Paid",$R$5:R46,"Completed")=1),1,0)</f>
        <v>0</v>
      </c>
    </row>
    <row r="47" spans="1:21">
      <c r="A47" s="3"/>
      <c r="B47" s="4"/>
      <c r="C47" s="12"/>
      <c r="D47" s="3"/>
      <c r="E47" s="3"/>
      <c r="F47" s="3"/>
      <c r="G47" s="11" t="str">
        <f>IFERROR(VLOOKUP(F47,'Menu &amp; Pricing'!$A$5:$I$54,2,FALSE),"")</f>
        <v/>
      </c>
      <c r="H47" s="13"/>
      <c r="I47" s="14" t="str">
        <f>IFERROR(VLOOKUP(F47,'Menu &amp; Pricing'!$A$5:$I$54,5,FALSE),"")</f>
        <v/>
      </c>
      <c r="J47" s="8"/>
      <c r="K47" s="9" t="str">
        <f t="shared" si="3"/>
        <v/>
      </c>
      <c r="L47" s="8"/>
      <c r="M47" s="9" t="str">
        <f t="shared" si="4"/>
        <v/>
      </c>
      <c r="N47" s="14" t="str">
        <f>IFERROR(VLOOKUP(F47,'Menu &amp; Pricing'!$A$5:$I$54,6,FALSE),"")</f>
        <v/>
      </c>
      <c r="O47" s="9" t="str">
        <f t="shared" si="5"/>
        <v/>
      </c>
      <c r="P47" s="3"/>
      <c r="Q47" s="3"/>
      <c r="R47" s="3"/>
      <c r="S47" s="3"/>
      <c r="T47" s="3"/>
      <c r="U47" s="7">
        <f>IF(AND(A47&lt;&gt;"",Q47="Paid",R47="Completed",COUNTIFS($A$5:A47,A47,$B$5:B47,B47,$Q$5:Q47,"Paid",$R$5:R47,"Completed")=1),1,0)</f>
        <v>0</v>
      </c>
    </row>
    <row r="48" spans="1:21">
      <c r="A48" s="3"/>
      <c r="B48" s="4"/>
      <c r="C48" s="12"/>
      <c r="D48" s="3"/>
      <c r="E48" s="3"/>
      <c r="F48" s="3"/>
      <c r="G48" s="11" t="str">
        <f>IFERROR(VLOOKUP(F48,'Menu &amp; Pricing'!$A$5:$I$54,2,FALSE),"")</f>
        <v/>
      </c>
      <c r="H48" s="13"/>
      <c r="I48" s="14" t="str">
        <f>IFERROR(VLOOKUP(F48,'Menu &amp; Pricing'!$A$5:$I$54,5,FALSE),"")</f>
        <v/>
      </c>
      <c r="J48" s="8"/>
      <c r="K48" s="9" t="str">
        <f t="shared" si="3"/>
        <v/>
      </c>
      <c r="L48" s="8"/>
      <c r="M48" s="9" t="str">
        <f t="shared" si="4"/>
        <v/>
      </c>
      <c r="N48" s="14" t="str">
        <f>IFERROR(VLOOKUP(F48,'Menu &amp; Pricing'!$A$5:$I$54,6,FALSE),"")</f>
        <v/>
      </c>
      <c r="O48" s="9" t="str">
        <f t="shared" si="5"/>
        <v/>
      </c>
      <c r="P48" s="3"/>
      <c r="Q48" s="3"/>
      <c r="R48" s="3"/>
      <c r="S48" s="3"/>
      <c r="T48" s="3"/>
      <c r="U48" s="7">
        <f>IF(AND(A48&lt;&gt;"",Q48="Paid",R48="Completed",COUNTIFS($A$5:A48,A48,$B$5:B48,B48,$Q$5:Q48,"Paid",$R$5:R48,"Completed")=1),1,0)</f>
        <v>0</v>
      </c>
    </row>
    <row r="49" spans="1:21">
      <c r="A49" s="3"/>
      <c r="B49" s="4"/>
      <c r="C49" s="12"/>
      <c r="D49" s="3"/>
      <c r="E49" s="3"/>
      <c r="F49" s="3"/>
      <c r="G49" s="11" t="str">
        <f>IFERROR(VLOOKUP(F49,'Menu &amp; Pricing'!$A$5:$I$54,2,FALSE),"")</f>
        <v/>
      </c>
      <c r="H49" s="13"/>
      <c r="I49" s="14" t="str">
        <f>IFERROR(VLOOKUP(F49,'Menu &amp; Pricing'!$A$5:$I$54,5,FALSE),"")</f>
        <v/>
      </c>
      <c r="J49" s="8"/>
      <c r="K49" s="9" t="str">
        <f t="shared" si="3"/>
        <v/>
      </c>
      <c r="L49" s="8"/>
      <c r="M49" s="9" t="str">
        <f t="shared" si="4"/>
        <v/>
      </c>
      <c r="N49" s="14" t="str">
        <f>IFERROR(VLOOKUP(F49,'Menu &amp; Pricing'!$A$5:$I$54,6,FALSE),"")</f>
        <v/>
      </c>
      <c r="O49" s="9" t="str">
        <f t="shared" si="5"/>
        <v/>
      </c>
      <c r="P49" s="3"/>
      <c r="Q49" s="3"/>
      <c r="R49" s="3"/>
      <c r="S49" s="3"/>
      <c r="T49" s="3"/>
      <c r="U49" s="7">
        <f>IF(AND(A49&lt;&gt;"",Q49="Paid",R49="Completed",COUNTIFS($A$5:A49,A49,$B$5:B49,B49,$Q$5:Q49,"Paid",$R$5:R49,"Completed")=1),1,0)</f>
        <v>0</v>
      </c>
    </row>
    <row r="50" spans="1:21">
      <c r="A50" s="3"/>
      <c r="B50" s="4"/>
      <c r="C50" s="12"/>
      <c r="D50" s="3"/>
      <c r="E50" s="3"/>
      <c r="F50" s="3"/>
      <c r="G50" s="11" t="str">
        <f>IFERROR(VLOOKUP(F50,'Menu &amp; Pricing'!$A$5:$I$54,2,FALSE),"")</f>
        <v/>
      </c>
      <c r="H50" s="13"/>
      <c r="I50" s="14" t="str">
        <f>IFERROR(VLOOKUP(F50,'Menu &amp; Pricing'!$A$5:$I$54,5,FALSE),"")</f>
        <v/>
      </c>
      <c r="J50" s="8"/>
      <c r="K50" s="9" t="str">
        <f t="shared" si="3"/>
        <v/>
      </c>
      <c r="L50" s="8"/>
      <c r="M50" s="9" t="str">
        <f t="shared" si="4"/>
        <v/>
      </c>
      <c r="N50" s="14" t="str">
        <f>IFERROR(VLOOKUP(F50,'Menu &amp; Pricing'!$A$5:$I$54,6,FALSE),"")</f>
        <v/>
      </c>
      <c r="O50" s="9" t="str">
        <f t="shared" si="5"/>
        <v/>
      </c>
      <c r="P50" s="3"/>
      <c r="Q50" s="3"/>
      <c r="R50" s="3"/>
      <c r="S50" s="3"/>
      <c r="T50" s="3"/>
      <c r="U50" s="7">
        <f>IF(AND(A50&lt;&gt;"",Q50="Paid",R50="Completed",COUNTIFS($A$5:A50,A50,$B$5:B50,B50,$Q$5:Q50,"Paid",$R$5:R50,"Completed")=1),1,0)</f>
        <v>0</v>
      </c>
    </row>
    <row r="51" spans="1:21">
      <c r="A51" s="3"/>
      <c r="B51" s="4"/>
      <c r="C51" s="12"/>
      <c r="D51" s="3"/>
      <c r="E51" s="3"/>
      <c r="F51" s="3"/>
      <c r="G51" s="11" t="str">
        <f>IFERROR(VLOOKUP(F51,'Menu &amp; Pricing'!$A$5:$I$54,2,FALSE),"")</f>
        <v/>
      </c>
      <c r="H51" s="13"/>
      <c r="I51" s="14" t="str">
        <f>IFERROR(VLOOKUP(F51,'Menu &amp; Pricing'!$A$5:$I$54,5,FALSE),"")</f>
        <v/>
      </c>
      <c r="J51" s="8"/>
      <c r="K51" s="9" t="str">
        <f t="shared" si="3"/>
        <v/>
      </c>
      <c r="L51" s="8"/>
      <c r="M51" s="9" t="str">
        <f t="shared" si="4"/>
        <v/>
      </c>
      <c r="N51" s="14" t="str">
        <f>IFERROR(VLOOKUP(F51,'Menu &amp; Pricing'!$A$5:$I$54,6,FALSE),"")</f>
        <v/>
      </c>
      <c r="O51" s="9" t="str">
        <f t="shared" si="5"/>
        <v/>
      </c>
      <c r="P51" s="3"/>
      <c r="Q51" s="3"/>
      <c r="R51" s="3"/>
      <c r="S51" s="3"/>
      <c r="T51" s="3"/>
      <c r="U51" s="7">
        <f>IF(AND(A51&lt;&gt;"",Q51="Paid",R51="Completed",COUNTIFS($A$5:A51,A51,$B$5:B51,B51,$Q$5:Q51,"Paid",$R$5:R51,"Completed")=1),1,0)</f>
        <v>0</v>
      </c>
    </row>
    <row r="52" spans="1:21">
      <c r="A52" s="3"/>
      <c r="B52" s="4"/>
      <c r="C52" s="12"/>
      <c r="D52" s="3"/>
      <c r="E52" s="3"/>
      <c r="F52" s="3"/>
      <c r="G52" s="11" t="str">
        <f>IFERROR(VLOOKUP(F52,'Menu &amp; Pricing'!$A$5:$I$54,2,FALSE),"")</f>
        <v/>
      </c>
      <c r="H52" s="13"/>
      <c r="I52" s="14" t="str">
        <f>IFERROR(VLOOKUP(F52,'Menu &amp; Pricing'!$A$5:$I$54,5,FALSE),"")</f>
        <v/>
      </c>
      <c r="J52" s="8"/>
      <c r="K52" s="9" t="str">
        <f t="shared" si="3"/>
        <v/>
      </c>
      <c r="L52" s="8"/>
      <c r="M52" s="9" t="str">
        <f t="shared" si="4"/>
        <v/>
      </c>
      <c r="N52" s="14" t="str">
        <f>IFERROR(VLOOKUP(F52,'Menu &amp; Pricing'!$A$5:$I$54,6,FALSE),"")</f>
        <v/>
      </c>
      <c r="O52" s="9" t="str">
        <f t="shared" si="5"/>
        <v/>
      </c>
      <c r="P52" s="3"/>
      <c r="Q52" s="3"/>
      <c r="R52" s="3"/>
      <c r="S52" s="3"/>
      <c r="T52" s="3"/>
      <c r="U52" s="7">
        <f>IF(AND(A52&lt;&gt;"",Q52="Paid",R52="Completed",COUNTIFS($A$5:A52,A52,$B$5:B52,B52,$Q$5:Q52,"Paid",$R$5:R52,"Completed")=1),1,0)</f>
        <v>0</v>
      </c>
    </row>
    <row r="53" spans="1:21">
      <c r="A53" s="3"/>
      <c r="B53" s="4"/>
      <c r="C53" s="12"/>
      <c r="D53" s="3"/>
      <c r="E53" s="3"/>
      <c r="F53" s="3"/>
      <c r="G53" s="11" t="str">
        <f>IFERROR(VLOOKUP(F53,'Menu &amp; Pricing'!$A$5:$I$54,2,FALSE),"")</f>
        <v/>
      </c>
      <c r="H53" s="13"/>
      <c r="I53" s="14" t="str">
        <f>IFERROR(VLOOKUP(F53,'Menu &amp; Pricing'!$A$5:$I$54,5,FALSE),"")</f>
        <v/>
      </c>
      <c r="J53" s="8"/>
      <c r="K53" s="9" t="str">
        <f t="shared" si="3"/>
        <v/>
      </c>
      <c r="L53" s="8"/>
      <c r="M53" s="9" t="str">
        <f t="shared" si="4"/>
        <v/>
      </c>
      <c r="N53" s="14" t="str">
        <f>IFERROR(VLOOKUP(F53,'Menu &amp; Pricing'!$A$5:$I$54,6,FALSE),"")</f>
        <v/>
      </c>
      <c r="O53" s="9" t="str">
        <f t="shared" si="5"/>
        <v/>
      </c>
      <c r="P53" s="3"/>
      <c r="Q53" s="3"/>
      <c r="R53" s="3"/>
      <c r="S53" s="3"/>
      <c r="T53" s="3"/>
      <c r="U53" s="7">
        <f>IF(AND(A53&lt;&gt;"",Q53="Paid",R53="Completed",COUNTIFS($A$5:A53,A53,$B$5:B53,B53,$Q$5:Q53,"Paid",$R$5:R53,"Completed")=1),1,0)</f>
        <v>0</v>
      </c>
    </row>
    <row r="54" spans="1:21">
      <c r="A54" s="3"/>
      <c r="B54" s="4"/>
      <c r="C54" s="12"/>
      <c r="D54" s="3"/>
      <c r="E54" s="3"/>
      <c r="F54" s="3"/>
      <c r="G54" s="11" t="str">
        <f>IFERROR(VLOOKUP(F54,'Menu &amp; Pricing'!$A$5:$I$54,2,FALSE),"")</f>
        <v/>
      </c>
      <c r="H54" s="13"/>
      <c r="I54" s="14" t="str">
        <f>IFERROR(VLOOKUP(F54,'Menu &amp; Pricing'!$A$5:$I$54,5,FALSE),"")</f>
        <v/>
      </c>
      <c r="J54" s="8"/>
      <c r="K54" s="9" t="str">
        <f t="shared" si="3"/>
        <v/>
      </c>
      <c r="L54" s="8"/>
      <c r="M54" s="9" t="str">
        <f t="shared" si="4"/>
        <v/>
      </c>
      <c r="N54" s="14" t="str">
        <f>IFERROR(VLOOKUP(F54,'Menu &amp; Pricing'!$A$5:$I$54,6,FALSE),"")</f>
        <v/>
      </c>
      <c r="O54" s="9" t="str">
        <f t="shared" si="5"/>
        <v/>
      </c>
      <c r="P54" s="3"/>
      <c r="Q54" s="3"/>
      <c r="R54" s="3"/>
      <c r="S54" s="3"/>
      <c r="T54" s="3"/>
      <c r="U54" s="7">
        <f>IF(AND(A54&lt;&gt;"",Q54="Paid",R54="Completed",COUNTIFS($A$5:A54,A54,$B$5:B54,B54,$Q$5:Q54,"Paid",$R$5:R54,"Completed")=1),1,0)</f>
        <v>0</v>
      </c>
    </row>
    <row r="55" spans="1:21">
      <c r="A55" s="3"/>
      <c r="B55" s="4"/>
      <c r="C55" s="12"/>
      <c r="D55" s="3"/>
      <c r="E55" s="3"/>
      <c r="F55" s="3"/>
      <c r="G55" s="11" t="str">
        <f>IFERROR(VLOOKUP(F55,'Menu &amp; Pricing'!$A$5:$I$54,2,FALSE),"")</f>
        <v/>
      </c>
      <c r="H55" s="13"/>
      <c r="I55" s="14" t="str">
        <f>IFERROR(VLOOKUP(F55,'Menu &amp; Pricing'!$A$5:$I$54,5,FALSE),"")</f>
        <v/>
      </c>
      <c r="J55" s="8"/>
      <c r="K55" s="9" t="str">
        <f t="shared" si="3"/>
        <v/>
      </c>
      <c r="L55" s="8"/>
      <c r="M55" s="9" t="str">
        <f t="shared" si="4"/>
        <v/>
      </c>
      <c r="N55" s="14" t="str">
        <f>IFERROR(VLOOKUP(F55,'Menu &amp; Pricing'!$A$5:$I$54,6,FALSE),"")</f>
        <v/>
      </c>
      <c r="O55" s="9" t="str">
        <f t="shared" si="5"/>
        <v/>
      </c>
      <c r="P55" s="3"/>
      <c r="Q55" s="3"/>
      <c r="R55" s="3"/>
      <c r="S55" s="3"/>
      <c r="T55" s="3"/>
      <c r="U55" s="7">
        <f>IF(AND(A55&lt;&gt;"",Q55="Paid",R55="Completed",COUNTIFS($A$5:A55,A55,$B$5:B55,B55,$Q$5:Q55,"Paid",$R$5:R55,"Completed")=1),1,0)</f>
        <v>0</v>
      </c>
    </row>
    <row r="56" spans="1:21">
      <c r="A56" s="3"/>
      <c r="B56" s="4"/>
      <c r="C56" s="12"/>
      <c r="D56" s="3"/>
      <c r="E56" s="3"/>
      <c r="F56" s="3"/>
      <c r="G56" s="11" t="str">
        <f>IFERROR(VLOOKUP(F56,'Menu &amp; Pricing'!$A$5:$I$54,2,FALSE),"")</f>
        <v/>
      </c>
      <c r="H56" s="13"/>
      <c r="I56" s="14" t="str">
        <f>IFERROR(VLOOKUP(F56,'Menu &amp; Pricing'!$A$5:$I$54,5,FALSE),"")</f>
        <v/>
      </c>
      <c r="J56" s="8"/>
      <c r="K56" s="9" t="str">
        <f t="shared" si="3"/>
        <v/>
      </c>
      <c r="L56" s="8"/>
      <c r="M56" s="9" t="str">
        <f t="shared" si="4"/>
        <v/>
      </c>
      <c r="N56" s="14" t="str">
        <f>IFERROR(VLOOKUP(F56,'Menu &amp; Pricing'!$A$5:$I$54,6,FALSE),"")</f>
        <v/>
      </c>
      <c r="O56" s="9" t="str">
        <f t="shared" si="5"/>
        <v/>
      </c>
      <c r="P56" s="3"/>
      <c r="Q56" s="3"/>
      <c r="R56" s="3"/>
      <c r="S56" s="3"/>
      <c r="T56" s="3"/>
      <c r="U56" s="7">
        <f>IF(AND(A56&lt;&gt;"",Q56="Paid",R56="Completed",COUNTIFS($A$5:A56,A56,$B$5:B56,B56,$Q$5:Q56,"Paid",$R$5:R56,"Completed")=1),1,0)</f>
        <v>0</v>
      </c>
    </row>
    <row r="57" spans="1:21">
      <c r="A57" s="3"/>
      <c r="B57" s="4"/>
      <c r="C57" s="12"/>
      <c r="D57" s="3"/>
      <c r="E57" s="3"/>
      <c r="F57" s="3"/>
      <c r="G57" s="11" t="str">
        <f>IFERROR(VLOOKUP(F57,'Menu &amp; Pricing'!$A$5:$I$54,2,FALSE),"")</f>
        <v/>
      </c>
      <c r="H57" s="13"/>
      <c r="I57" s="14" t="str">
        <f>IFERROR(VLOOKUP(F57,'Menu &amp; Pricing'!$A$5:$I$54,5,FALSE),"")</f>
        <v/>
      </c>
      <c r="J57" s="8"/>
      <c r="K57" s="9" t="str">
        <f t="shared" si="3"/>
        <v/>
      </c>
      <c r="L57" s="8"/>
      <c r="M57" s="9" t="str">
        <f t="shared" si="4"/>
        <v/>
      </c>
      <c r="N57" s="14" t="str">
        <f>IFERROR(VLOOKUP(F57,'Menu &amp; Pricing'!$A$5:$I$54,6,FALSE),"")</f>
        <v/>
      </c>
      <c r="O57" s="9" t="str">
        <f t="shared" si="5"/>
        <v/>
      </c>
      <c r="P57" s="3"/>
      <c r="Q57" s="3"/>
      <c r="R57" s="3"/>
      <c r="S57" s="3"/>
      <c r="T57" s="3"/>
      <c r="U57" s="7">
        <f>IF(AND(A57&lt;&gt;"",Q57="Paid",R57="Completed",COUNTIFS($A$5:A57,A57,$B$5:B57,B57,$Q$5:Q57,"Paid",$R$5:R57,"Completed")=1),1,0)</f>
        <v>0</v>
      </c>
    </row>
    <row r="58" spans="1:21">
      <c r="A58" s="3"/>
      <c r="B58" s="4"/>
      <c r="C58" s="12"/>
      <c r="D58" s="3"/>
      <c r="E58" s="3"/>
      <c r="F58" s="3"/>
      <c r="G58" s="11" t="str">
        <f>IFERROR(VLOOKUP(F58,'Menu &amp; Pricing'!$A$5:$I$54,2,FALSE),"")</f>
        <v/>
      </c>
      <c r="H58" s="13"/>
      <c r="I58" s="14" t="str">
        <f>IFERROR(VLOOKUP(F58,'Menu &amp; Pricing'!$A$5:$I$54,5,FALSE),"")</f>
        <v/>
      </c>
      <c r="J58" s="8"/>
      <c r="K58" s="9" t="str">
        <f t="shared" si="3"/>
        <v/>
      </c>
      <c r="L58" s="8"/>
      <c r="M58" s="9" t="str">
        <f t="shared" si="4"/>
        <v/>
      </c>
      <c r="N58" s="14" t="str">
        <f>IFERROR(VLOOKUP(F58,'Menu &amp; Pricing'!$A$5:$I$54,6,FALSE),"")</f>
        <v/>
      </c>
      <c r="O58" s="9" t="str">
        <f t="shared" si="5"/>
        <v/>
      </c>
      <c r="P58" s="3"/>
      <c r="Q58" s="3"/>
      <c r="R58" s="3"/>
      <c r="S58" s="3"/>
      <c r="T58" s="3"/>
      <c r="U58" s="7">
        <f>IF(AND(A58&lt;&gt;"",Q58="Paid",R58="Completed",COUNTIFS($A$5:A58,A58,$B$5:B58,B58,$Q$5:Q58,"Paid",$R$5:R58,"Completed")=1),1,0)</f>
        <v>0</v>
      </c>
    </row>
    <row r="59" spans="1:21">
      <c r="A59" s="3"/>
      <c r="B59" s="4"/>
      <c r="C59" s="12"/>
      <c r="D59" s="3"/>
      <c r="E59" s="3"/>
      <c r="F59" s="3"/>
      <c r="G59" s="11" t="str">
        <f>IFERROR(VLOOKUP(F59,'Menu &amp; Pricing'!$A$5:$I$54,2,FALSE),"")</f>
        <v/>
      </c>
      <c r="H59" s="13"/>
      <c r="I59" s="14" t="str">
        <f>IFERROR(VLOOKUP(F59,'Menu &amp; Pricing'!$A$5:$I$54,5,FALSE),"")</f>
        <v/>
      </c>
      <c r="J59" s="8"/>
      <c r="K59" s="9" t="str">
        <f t="shared" si="3"/>
        <v/>
      </c>
      <c r="L59" s="8"/>
      <c r="M59" s="9" t="str">
        <f t="shared" si="4"/>
        <v/>
      </c>
      <c r="N59" s="14" t="str">
        <f>IFERROR(VLOOKUP(F59,'Menu &amp; Pricing'!$A$5:$I$54,6,FALSE),"")</f>
        <v/>
      </c>
      <c r="O59" s="9" t="str">
        <f t="shared" si="5"/>
        <v/>
      </c>
      <c r="P59" s="3"/>
      <c r="Q59" s="3"/>
      <c r="R59" s="3"/>
      <c r="S59" s="3"/>
      <c r="T59" s="3"/>
      <c r="U59" s="7">
        <f>IF(AND(A59&lt;&gt;"",Q59="Paid",R59="Completed",COUNTIFS($A$5:A59,A59,$B$5:B59,B59,$Q$5:Q59,"Paid",$R$5:R59,"Completed")=1),1,0)</f>
        <v>0</v>
      </c>
    </row>
    <row r="60" spans="1:21">
      <c r="A60" s="3"/>
      <c r="B60" s="4"/>
      <c r="C60" s="12"/>
      <c r="D60" s="3"/>
      <c r="E60" s="3"/>
      <c r="F60" s="3"/>
      <c r="G60" s="11" t="str">
        <f>IFERROR(VLOOKUP(F60,'Menu &amp; Pricing'!$A$5:$I$54,2,FALSE),"")</f>
        <v/>
      </c>
      <c r="H60" s="13"/>
      <c r="I60" s="14" t="str">
        <f>IFERROR(VLOOKUP(F60,'Menu &amp; Pricing'!$A$5:$I$54,5,FALSE),"")</f>
        <v/>
      </c>
      <c r="J60" s="8"/>
      <c r="K60" s="9" t="str">
        <f t="shared" si="3"/>
        <v/>
      </c>
      <c r="L60" s="8"/>
      <c r="M60" s="9" t="str">
        <f t="shared" si="4"/>
        <v/>
      </c>
      <c r="N60" s="14" t="str">
        <f>IFERROR(VLOOKUP(F60,'Menu &amp; Pricing'!$A$5:$I$54,6,FALSE),"")</f>
        <v/>
      </c>
      <c r="O60" s="9" t="str">
        <f t="shared" si="5"/>
        <v/>
      </c>
      <c r="P60" s="3"/>
      <c r="Q60" s="3"/>
      <c r="R60" s="3"/>
      <c r="S60" s="3"/>
      <c r="T60" s="3"/>
      <c r="U60" s="7">
        <f>IF(AND(A60&lt;&gt;"",Q60="Paid",R60="Completed",COUNTIFS($A$5:A60,A60,$B$5:B60,B60,$Q$5:Q60,"Paid",$R$5:R60,"Completed")=1),1,0)</f>
        <v>0</v>
      </c>
    </row>
    <row r="61" spans="1:21">
      <c r="A61" s="3"/>
      <c r="B61" s="4"/>
      <c r="C61" s="12"/>
      <c r="D61" s="3"/>
      <c r="E61" s="3"/>
      <c r="F61" s="3"/>
      <c r="G61" s="11" t="str">
        <f>IFERROR(VLOOKUP(F61,'Menu &amp; Pricing'!$A$5:$I$54,2,FALSE),"")</f>
        <v/>
      </c>
      <c r="H61" s="13"/>
      <c r="I61" s="14" t="str">
        <f>IFERROR(VLOOKUP(F61,'Menu &amp; Pricing'!$A$5:$I$54,5,FALSE),"")</f>
        <v/>
      </c>
      <c r="J61" s="8"/>
      <c r="K61" s="9" t="str">
        <f t="shared" si="3"/>
        <v/>
      </c>
      <c r="L61" s="8"/>
      <c r="M61" s="9" t="str">
        <f t="shared" si="4"/>
        <v/>
      </c>
      <c r="N61" s="14" t="str">
        <f>IFERROR(VLOOKUP(F61,'Menu &amp; Pricing'!$A$5:$I$54,6,FALSE),"")</f>
        <v/>
      </c>
      <c r="O61" s="9" t="str">
        <f t="shared" si="5"/>
        <v/>
      </c>
      <c r="P61" s="3"/>
      <c r="Q61" s="3"/>
      <c r="R61" s="3"/>
      <c r="S61" s="3"/>
      <c r="T61" s="3"/>
      <c r="U61" s="7">
        <f>IF(AND(A61&lt;&gt;"",Q61="Paid",R61="Completed",COUNTIFS($A$5:A61,A61,$B$5:B61,B61,$Q$5:Q61,"Paid",$R$5:R61,"Completed")=1),1,0)</f>
        <v>0</v>
      </c>
    </row>
    <row r="62" spans="1:21">
      <c r="A62" s="3"/>
      <c r="B62" s="4"/>
      <c r="C62" s="12"/>
      <c r="D62" s="3"/>
      <c r="E62" s="3"/>
      <c r="F62" s="3"/>
      <c r="G62" s="11" t="str">
        <f>IFERROR(VLOOKUP(F62,'Menu &amp; Pricing'!$A$5:$I$54,2,FALSE),"")</f>
        <v/>
      </c>
      <c r="H62" s="13"/>
      <c r="I62" s="14" t="str">
        <f>IFERROR(VLOOKUP(F62,'Menu &amp; Pricing'!$A$5:$I$54,5,FALSE),"")</f>
        <v/>
      </c>
      <c r="J62" s="8"/>
      <c r="K62" s="9" t="str">
        <f t="shared" si="3"/>
        <v/>
      </c>
      <c r="L62" s="8"/>
      <c r="M62" s="9" t="str">
        <f t="shared" si="4"/>
        <v/>
      </c>
      <c r="N62" s="14" t="str">
        <f>IFERROR(VLOOKUP(F62,'Menu &amp; Pricing'!$A$5:$I$54,6,FALSE),"")</f>
        <v/>
      </c>
      <c r="O62" s="9" t="str">
        <f t="shared" si="5"/>
        <v/>
      </c>
      <c r="P62" s="3"/>
      <c r="Q62" s="3"/>
      <c r="R62" s="3"/>
      <c r="S62" s="3"/>
      <c r="T62" s="3"/>
      <c r="U62" s="7">
        <f>IF(AND(A62&lt;&gt;"",Q62="Paid",R62="Completed",COUNTIFS($A$5:A62,A62,$B$5:B62,B62,$Q$5:Q62,"Paid",$R$5:R62,"Completed")=1),1,0)</f>
        <v>0</v>
      </c>
    </row>
    <row r="63" spans="1:21">
      <c r="A63" s="3"/>
      <c r="B63" s="4"/>
      <c r="C63" s="12"/>
      <c r="D63" s="3"/>
      <c r="E63" s="3"/>
      <c r="F63" s="3"/>
      <c r="G63" s="11" t="str">
        <f>IFERROR(VLOOKUP(F63,'Menu &amp; Pricing'!$A$5:$I$54,2,FALSE),"")</f>
        <v/>
      </c>
      <c r="H63" s="13"/>
      <c r="I63" s="14" t="str">
        <f>IFERROR(VLOOKUP(F63,'Menu &amp; Pricing'!$A$5:$I$54,5,FALSE),"")</f>
        <v/>
      </c>
      <c r="J63" s="8"/>
      <c r="K63" s="9" t="str">
        <f t="shared" si="3"/>
        <v/>
      </c>
      <c r="L63" s="8"/>
      <c r="M63" s="9" t="str">
        <f t="shared" si="4"/>
        <v/>
      </c>
      <c r="N63" s="14" t="str">
        <f>IFERROR(VLOOKUP(F63,'Menu &amp; Pricing'!$A$5:$I$54,6,FALSE),"")</f>
        <v/>
      </c>
      <c r="O63" s="9" t="str">
        <f t="shared" si="5"/>
        <v/>
      </c>
      <c r="P63" s="3"/>
      <c r="Q63" s="3"/>
      <c r="R63" s="3"/>
      <c r="S63" s="3"/>
      <c r="T63" s="3"/>
      <c r="U63" s="7">
        <f>IF(AND(A63&lt;&gt;"",Q63="Paid",R63="Completed",COUNTIFS($A$5:A63,A63,$B$5:B63,B63,$Q$5:Q63,"Paid",$R$5:R63,"Completed")=1),1,0)</f>
        <v>0</v>
      </c>
    </row>
    <row r="64" spans="1:21">
      <c r="A64" s="3"/>
      <c r="B64" s="4"/>
      <c r="C64" s="12"/>
      <c r="D64" s="3"/>
      <c r="E64" s="3"/>
      <c r="F64" s="3"/>
      <c r="G64" s="11" t="str">
        <f>IFERROR(VLOOKUP(F64,'Menu &amp; Pricing'!$A$5:$I$54,2,FALSE),"")</f>
        <v/>
      </c>
      <c r="H64" s="13"/>
      <c r="I64" s="14" t="str">
        <f>IFERROR(VLOOKUP(F64,'Menu &amp; Pricing'!$A$5:$I$54,5,FALSE),"")</f>
        <v/>
      </c>
      <c r="J64" s="8"/>
      <c r="K64" s="9" t="str">
        <f t="shared" si="3"/>
        <v/>
      </c>
      <c r="L64" s="8"/>
      <c r="M64" s="9" t="str">
        <f t="shared" si="4"/>
        <v/>
      </c>
      <c r="N64" s="14" t="str">
        <f>IFERROR(VLOOKUP(F64,'Menu &amp; Pricing'!$A$5:$I$54,6,FALSE),"")</f>
        <v/>
      </c>
      <c r="O64" s="9" t="str">
        <f t="shared" si="5"/>
        <v/>
      </c>
      <c r="P64" s="3"/>
      <c r="Q64" s="3"/>
      <c r="R64" s="3"/>
      <c r="S64" s="3"/>
      <c r="T64" s="3"/>
      <c r="U64" s="7">
        <f>IF(AND(A64&lt;&gt;"",Q64="Paid",R64="Completed",COUNTIFS($A$5:A64,A64,$B$5:B64,B64,$Q$5:Q64,"Paid",$R$5:R64,"Completed")=1),1,0)</f>
        <v>0</v>
      </c>
    </row>
    <row r="65" spans="1:21">
      <c r="A65" s="3"/>
      <c r="B65" s="4"/>
      <c r="C65" s="12"/>
      <c r="D65" s="3"/>
      <c r="E65" s="3"/>
      <c r="F65" s="3"/>
      <c r="G65" s="11" t="str">
        <f>IFERROR(VLOOKUP(F65,'Menu &amp; Pricing'!$A$5:$I$54,2,FALSE),"")</f>
        <v/>
      </c>
      <c r="H65" s="13"/>
      <c r="I65" s="14" t="str">
        <f>IFERROR(VLOOKUP(F65,'Menu &amp; Pricing'!$A$5:$I$54,5,FALSE),"")</f>
        <v/>
      </c>
      <c r="J65" s="8"/>
      <c r="K65" s="9" t="str">
        <f t="shared" si="3"/>
        <v/>
      </c>
      <c r="L65" s="8"/>
      <c r="M65" s="9" t="str">
        <f t="shared" si="4"/>
        <v/>
      </c>
      <c r="N65" s="14" t="str">
        <f>IFERROR(VLOOKUP(F65,'Menu &amp; Pricing'!$A$5:$I$54,6,FALSE),"")</f>
        <v/>
      </c>
      <c r="O65" s="9" t="str">
        <f t="shared" si="5"/>
        <v/>
      </c>
      <c r="P65" s="3"/>
      <c r="Q65" s="3"/>
      <c r="R65" s="3"/>
      <c r="S65" s="3"/>
      <c r="T65" s="3"/>
      <c r="U65" s="7">
        <f>IF(AND(A65&lt;&gt;"",Q65="Paid",R65="Completed",COUNTIFS($A$5:A65,A65,$B$5:B65,B65,$Q$5:Q65,"Paid",$R$5:R65,"Completed")=1),1,0)</f>
        <v>0</v>
      </c>
    </row>
    <row r="66" spans="1:21">
      <c r="A66" s="3"/>
      <c r="B66" s="4"/>
      <c r="C66" s="12"/>
      <c r="D66" s="3"/>
      <c r="E66" s="3"/>
      <c r="F66" s="3"/>
      <c r="G66" s="11" t="str">
        <f>IFERROR(VLOOKUP(F66,'Menu &amp; Pricing'!$A$5:$I$54,2,FALSE),"")</f>
        <v/>
      </c>
      <c r="H66" s="13"/>
      <c r="I66" s="14" t="str">
        <f>IFERROR(VLOOKUP(F66,'Menu &amp; Pricing'!$A$5:$I$54,5,FALSE),"")</f>
        <v/>
      </c>
      <c r="J66" s="8"/>
      <c r="K66" s="9" t="str">
        <f t="shared" si="3"/>
        <v/>
      </c>
      <c r="L66" s="8"/>
      <c r="M66" s="9" t="str">
        <f t="shared" si="4"/>
        <v/>
      </c>
      <c r="N66" s="14" t="str">
        <f>IFERROR(VLOOKUP(F66,'Menu &amp; Pricing'!$A$5:$I$54,6,FALSE),"")</f>
        <v/>
      </c>
      <c r="O66" s="9" t="str">
        <f t="shared" si="5"/>
        <v/>
      </c>
      <c r="P66" s="3"/>
      <c r="Q66" s="3"/>
      <c r="R66" s="3"/>
      <c r="S66" s="3"/>
      <c r="T66" s="3"/>
      <c r="U66" s="7">
        <f>IF(AND(A66&lt;&gt;"",Q66="Paid",R66="Completed",COUNTIFS($A$5:A66,A66,$B$5:B66,B66,$Q$5:Q66,"Paid",$R$5:R66,"Completed")=1),1,0)</f>
        <v>0</v>
      </c>
    </row>
    <row r="67" spans="1:21">
      <c r="A67" s="3"/>
      <c r="B67" s="4"/>
      <c r="C67" s="12"/>
      <c r="D67" s="3"/>
      <c r="E67" s="3"/>
      <c r="F67" s="3"/>
      <c r="G67" s="11" t="str">
        <f>IFERROR(VLOOKUP(F67,'Menu &amp; Pricing'!$A$5:$I$54,2,FALSE),"")</f>
        <v/>
      </c>
      <c r="H67" s="13"/>
      <c r="I67" s="14" t="str">
        <f>IFERROR(VLOOKUP(F67,'Menu &amp; Pricing'!$A$5:$I$54,5,FALSE),"")</f>
        <v/>
      </c>
      <c r="J67" s="8"/>
      <c r="K67" s="9" t="str">
        <f t="shared" si="3"/>
        <v/>
      </c>
      <c r="L67" s="8"/>
      <c r="M67" s="9" t="str">
        <f t="shared" si="4"/>
        <v/>
      </c>
      <c r="N67" s="14" t="str">
        <f>IFERROR(VLOOKUP(F67,'Menu &amp; Pricing'!$A$5:$I$54,6,FALSE),"")</f>
        <v/>
      </c>
      <c r="O67" s="9" t="str">
        <f t="shared" si="5"/>
        <v/>
      </c>
      <c r="P67" s="3"/>
      <c r="Q67" s="3"/>
      <c r="R67" s="3"/>
      <c r="S67" s="3"/>
      <c r="T67" s="3"/>
      <c r="U67" s="7">
        <f>IF(AND(A67&lt;&gt;"",Q67="Paid",R67="Completed",COUNTIFS($A$5:A67,A67,$B$5:B67,B67,$Q$5:Q67,"Paid",$R$5:R67,"Completed")=1),1,0)</f>
        <v>0</v>
      </c>
    </row>
    <row r="68" spans="1:21">
      <c r="A68" s="3"/>
      <c r="B68" s="4"/>
      <c r="C68" s="12"/>
      <c r="D68" s="3"/>
      <c r="E68" s="3"/>
      <c r="F68" s="3"/>
      <c r="G68" s="11" t="str">
        <f>IFERROR(VLOOKUP(F68,'Menu &amp; Pricing'!$A$5:$I$54,2,FALSE),"")</f>
        <v/>
      </c>
      <c r="H68" s="13"/>
      <c r="I68" s="14" t="str">
        <f>IFERROR(VLOOKUP(F68,'Menu &amp; Pricing'!$A$5:$I$54,5,FALSE),"")</f>
        <v/>
      </c>
      <c r="J68" s="8"/>
      <c r="K68" s="9" t="str">
        <f t="shared" si="3"/>
        <v/>
      </c>
      <c r="L68" s="8"/>
      <c r="M68" s="9" t="str">
        <f t="shared" si="4"/>
        <v/>
      </c>
      <c r="N68" s="14" t="str">
        <f>IFERROR(VLOOKUP(F68,'Menu &amp; Pricing'!$A$5:$I$54,6,FALSE),"")</f>
        <v/>
      </c>
      <c r="O68" s="9" t="str">
        <f t="shared" si="5"/>
        <v/>
      </c>
      <c r="P68" s="3"/>
      <c r="Q68" s="3"/>
      <c r="R68" s="3"/>
      <c r="S68" s="3"/>
      <c r="T68" s="3"/>
      <c r="U68" s="7">
        <f>IF(AND(A68&lt;&gt;"",Q68="Paid",R68="Completed",COUNTIFS($A$5:A68,A68,$B$5:B68,B68,$Q$5:Q68,"Paid",$R$5:R68,"Completed")=1),1,0)</f>
        <v>0</v>
      </c>
    </row>
    <row r="69" spans="1:21">
      <c r="A69" s="3"/>
      <c r="B69" s="4"/>
      <c r="C69" s="12"/>
      <c r="D69" s="3"/>
      <c r="E69" s="3"/>
      <c r="F69" s="3"/>
      <c r="G69" s="11" t="str">
        <f>IFERROR(VLOOKUP(F69,'Menu &amp; Pricing'!$A$5:$I$54,2,FALSE),"")</f>
        <v/>
      </c>
      <c r="H69" s="13"/>
      <c r="I69" s="14" t="str">
        <f>IFERROR(VLOOKUP(F69,'Menu &amp; Pricing'!$A$5:$I$54,5,FALSE),"")</f>
        <v/>
      </c>
      <c r="J69" s="8"/>
      <c r="K69" s="9" t="str">
        <f t="shared" ref="K69:K100" si="6">IF(OR(H69="",I69=""),"",H69*I69+IF(J69="",0,J69))</f>
        <v/>
      </c>
      <c r="L69" s="8"/>
      <c r="M69" s="9" t="str">
        <f t="shared" ref="M69:M100" si="7">IF(K69="","",MAX(0,K69-IF(L69="",0,L69)))</f>
        <v/>
      </c>
      <c r="N69" s="14" t="str">
        <f>IFERROR(VLOOKUP(F69,'Menu &amp; Pricing'!$A$5:$I$54,6,FALSE),"")</f>
        <v/>
      </c>
      <c r="O69" s="9" t="str">
        <f t="shared" ref="O69:O100" si="8">IF(OR(H69="",N69=""),"",H69*N69)</f>
        <v/>
      </c>
      <c r="P69" s="3"/>
      <c r="Q69" s="3"/>
      <c r="R69" s="3"/>
      <c r="S69" s="3"/>
      <c r="T69" s="3"/>
      <c r="U69" s="7">
        <f>IF(AND(A69&lt;&gt;"",Q69="Paid",R69="Completed",COUNTIFS($A$5:A69,A69,$B$5:B69,B69,$Q$5:Q69,"Paid",$R$5:R69,"Completed")=1),1,0)</f>
        <v>0</v>
      </c>
    </row>
    <row r="70" spans="1:21">
      <c r="A70" s="3"/>
      <c r="B70" s="4"/>
      <c r="C70" s="12"/>
      <c r="D70" s="3"/>
      <c r="E70" s="3"/>
      <c r="F70" s="3"/>
      <c r="G70" s="11" t="str">
        <f>IFERROR(VLOOKUP(F70,'Menu &amp; Pricing'!$A$5:$I$54,2,FALSE),"")</f>
        <v/>
      </c>
      <c r="H70" s="13"/>
      <c r="I70" s="14" t="str">
        <f>IFERROR(VLOOKUP(F70,'Menu &amp; Pricing'!$A$5:$I$54,5,FALSE),"")</f>
        <v/>
      </c>
      <c r="J70" s="8"/>
      <c r="K70" s="9" t="str">
        <f t="shared" si="6"/>
        <v/>
      </c>
      <c r="L70" s="8"/>
      <c r="M70" s="9" t="str">
        <f t="shared" si="7"/>
        <v/>
      </c>
      <c r="N70" s="14" t="str">
        <f>IFERROR(VLOOKUP(F70,'Menu &amp; Pricing'!$A$5:$I$54,6,FALSE),"")</f>
        <v/>
      </c>
      <c r="O70" s="9" t="str">
        <f t="shared" si="8"/>
        <v/>
      </c>
      <c r="P70" s="3"/>
      <c r="Q70" s="3"/>
      <c r="R70" s="3"/>
      <c r="S70" s="3"/>
      <c r="T70" s="3"/>
      <c r="U70" s="7">
        <f>IF(AND(A70&lt;&gt;"",Q70="Paid",R70="Completed",COUNTIFS($A$5:A70,A70,$B$5:B70,B70,$Q$5:Q70,"Paid",$R$5:R70,"Completed")=1),1,0)</f>
        <v>0</v>
      </c>
    </row>
    <row r="71" spans="1:21">
      <c r="A71" s="3"/>
      <c r="B71" s="4"/>
      <c r="C71" s="12"/>
      <c r="D71" s="3"/>
      <c r="E71" s="3"/>
      <c r="F71" s="3"/>
      <c r="G71" s="11" t="str">
        <f>IFERROR(VLOOKUP(F71,'Menu &amp; Pricing'!$A$5:$I$54,2,FALSE),"")</f>
        <v/>
      </c>
      <c r="H71" s="13"/>
      <c r="I71" s="14" t="str">
        <f>IFERROR(VLOOKUP(F71,'Menu &amp; Pricing'!$A$5:$I$54,5,FALSE),"")</f>
        <v/>
      </c>
      <c r="J71" s="8"/>
      <c r="K71" s="9" t="str">
        <f t="shared" si="6"/>
        <v/>
      </c>
      <c r="L71" s="8"/>
      <c r="M71" s="9" t="str">
        <f t="shared" si="7"/>
        <v/>
      </c>
      <c r="N71" s="14" t="str">
        <f>IFERROR(VLOOKUP(F71,'Menu &amp; Pricing'!$A$5:$I$54,6,FALSE),"")</f>
        <v/>
      </c>
      <c r="O71" s="9" t="str">
        <f t="shared" si="8"/>
        <v/>
      </c>
      <c r="P71" s="3"/>
      <c r="Q71" s="3"/>
      <c r="R71" s="3"/>
      <c r="S71" s="3"/>
      <c r="T71" s="3"/>
      <c r="U71" s="7">
        <f>IF(AND(A71&lt;&gt;"",Q71="Paid",R71="Completed",COUNTIFS($A$5:A71,A71,$B$5:B71,B71,$Q$5:Q71,"Paid",$R$5:R71,"Completed")=1),1,0)</f>
        <v>0</v>
      </c>
    </row>
    <row r="72" spans="1:21">
      <c r="A72" s="3"/>
      <c r="B72" s="4"/>
      <c r="C72" s="12"/>
      <c r="D72" s="3"/>
      <c r="E72" s="3"/>
      <c r="F72" s="3"/>
      <c r="G72" s="11" t="str">
        <f>IFERROR(VLOOKUP(F72,'Menu &amp; Pricing'!$A$5:$I$54,2,FALSE),"")</f>
        <v/>
      </c>
      <c r="H72" s="13"/>
      <c r="I72" s="14" t="str">
        <f>IFERROR(VLOOKUP(F72,'Menu &amp; Pricing'!$A$5:$I$54,5,FALSE),"")</f>
        <v/>
      </c>
      <c r="J72" s="8"/>
      <c r="K72" s="9" t="str">
        <f t="shared" si="6"/>
        <v/>
      </c>
      <c r="L72" s="8"/>
      <c r="M72" s="9" t="str">
        <f t="shared" si="7"/>
        <v/>
      </c>
      <c r="N72" s="14" t="str">
        <f>IFERROR(VLOOKUP(F72,'Menu &amp; Pricing'!$A$5:$I$54,6,FALSE),"")</f>
        <v/>
      </c>
      <c r="O72" s="9" t="str">
        <f t="shared" si="8"/>
        <v/>
      </c>
      <c r="P72" s="3"/>
      <c r="Q72" s="3"/>
      <c r="R72" s="3"/>
      <c r="S72" s="3"/>
      <c r="T72" s="3"/>
      <c r="U72" s="7">
        <f>IF(AND(A72&lt;&gt;"",Q72="Paid",R72="Completed",COUNTIFS($A$5:A72,A72,$B$5:B72,B72,$Q$5:Q72,"Paid",$R$5:R72,"Completed")=1),1,0)</f>
        <v>0</v>
      </c>
    </row>
    <row r="73" spans="1:21">
      <c r="A73" s="3"/>
      <c r="B73" s="4"/>
      <c r="C73" s="12"/>
      <c r="D73" s="3"/>
      <c r="E73" s="3"/>
      <c r="F73" s="3"/>
      <c r="G73" s="11" t="str">
        <f>IFERROR(VLOOKUP(F73,'Menu &amp; Pricing'!$A$5:$I$54,2,FALSE),"")</f>
        <v/>
      </c>
      <c r="H73" s="13"/>
      <c r="I73" s="14" t="str">
        <f>IFERROR(VLOOKUP(F73,'Menu &amp; Pricing'!$A$5:$I$54,5,FALSE),"")</f>
        <v/>
      </c>
      <c r="J73" s="8"/>
      <c r="K73" s="9" t="str">
        <f t="shared" si="6"/>
        <v/>
      </c>
      <c r="L73" s="8"/>
      <c r="M73" s="9" t="str">
        <f t="shared" si="7"/>
        <v/>
      </c>
      <c r="N73" s="14" t="str">
        <f>IFERROR(VLOOKUP(F73,'Menu &amp; Pricing'!$A$5:$I$54,6,FALSE),"")</f>
        <v/>
      </c>
      <c r="O73" s="9" t="str">
        <f t="shared" si="8"/>
        <v/>
      </c>
      <c r="P73" s="3"/>
      <c r="Q73" s="3"/>
      <c r="R73" s="3"/>
      <c r="S73" s="3"/>
      <c r="T73" s="3"/>
      <c r="U73" s="7">
        <f>IF(AND(A73&lt;&gt;"",Q73="Paid",R73="Completed",COUNTIFS($A$5:A73,A73,$B$5:B73,B73,$Q$5:Q73,"Paid",$R$5:R73,"Completed")=1),1,0)</f>
        <v>0</v>
      </c>
    </row>
    <row r="74" spans="1:21">
      <c r="A74" s="3"/>
      <c r="B74" s="4"/>
      <c r="C74" s="12"/>
      <c r="D74" s="3"/>
      <c r="E74" s="3"/>
      <c r="F74" s="3"/>
      <c r="G74" s="11" t="str">
        <f>IFERROR(VLOOKUP(F74,'Menu &amp; Pricing'!$A$5:$I$54,2,FALSE),"")</f>
        <v/>
      </c>
      <c r="H74" s="13"/>
      <c r="I74" s="14" t="str">
        <f>IFERROR(VLOOKUP(F74,'Menu &amp; Pricing'!$A$5:$I$54,5,FALSE),"")</f>
        <v/>
      </c>
      <c r="J74" s="8"/>
      <c r="K74" s="9" t="str">
        <f t="shared" si="6"/>
        <v/>
      </c>
      <c r="L74" s="8"/>
      <c r="M74" s="9" t="str">
        <f t="shared" si="7"/>
        <v/>
      </c>
      <c r="N74" s="14" t="str">
        <f>IFERROR(VLOOKUP(F74,'Menu &amp; Pricing'!$A$5:$I$54,6,FALSE),"")</f>
        <v/>
      </c>
      <c r="O74" s="9" t="str">
        <f t="shared" si="8"/>
        <v/>
      </c>
      <c r="P74" s="3"/>
      <c r="Q74" s="3"/>
      <c r="R74" s="3"/>
      <c r="S74" s="3"/>
      <c r="T74" s="3"/>
      <c r="U74" s="7">
        <f>IF(AND(A74&lt;&gt;"",Q74="Paid",R74="Completed",COUNTIFS($A$5:A74,A74,$B$5:B74,B74,$Q$5:Q74,"Paid",$R$5:R74,"Completed")=1),1,0)</f>
        <v>0</v>
      </c>
    </row>
    <row r="75" spans="1:21">
      <c r="A75" s="3"/>
      <c r="B75" s="4"/>
      <c r="C75" s="12"/>
      <c r="D75" s="3"/>
      <c r="E75" s="3"/>
      <c r="F75" s="3"/>
      <c r="G75" s="11" t="str">
        <f>IFERROR(VLOOKUP(F75,'Menu &amp; Pricing'!$A$5:$I$54,2,FALSE),"")</f>
        <v/>
      </c>
      <c r="H75" s="13"/>
      <c r="I75" s="14" t="str">
        <f>IFERROR(VLOOKUP(F75,'Menu &amp; Pricing'!$A$5:$I$54,5,FALSE),"")</f>
        <v/>
      </c>
      <c r="J75" s="8"/>
      <c r="K75" s="9" t="str">
        <f t="shared" si="6"/>
        <v/>
      </c>
      <c r="L75" s="8"/>
      <c r="M75" s="9" t="str">
        <f t="shared" si="7"/>
        <v/>
      </c>
      <c r="N75" s="14" t="str">
        <f>IFERROR(VLOOKUP(F75,'Menu &amp; Pricing'!$A$5:$I$54,6,FALSE),"")</f>
        <v/>
      </c>
      <c r="O75" s="9" t="str">
        <f t="shared" si="8"/>
        <v/>
      </c>
      <c r="P75" s="3"/>
      <c r="Q75" s="3"/>
      <c r="R75" s="3"/>
      <c r="S75" s="3"/>
      <c r="T75" s="3"/>
      <c r="U75" s="7">
        <f>IF(AND(A75&lt;&gt;"",Q75="Paid",R75="Completed",COUNTIFS($A$5:A75,A75,$B$5:B75,B75,$Q$5:Q75,"Paid",$R$5:R75,"Completed")=1),1,0)</f>
        <v>0</v>
      </c>
    </row>
    <row r="76" spans="1:21">
      <c r="A76" s="3"/>
      <c r="B76" s="4"/>
      <c r="C76" s="12"/>
      <c r="D76" s="3"/>
      <c r="E76" s="3"/>
      <c r="F76" s="3"/>
      <c r="G76" s="11" t="str">
        <f>IFERROR(VLOOKUP(F76,'Menu &amp; Pricing'!$A$5:$I$54,2,FALSE),"")</f>
        <v/>
      </c>
      <c r="H76" s="13"/>
      <c r="I76" s="14" t="str">
        <f>IFERROR(VLOOKUP(F76,'Menu &amp; Pricing'!$A$5:$I$54,5,FALSE),"")</f>
        <v/>
      </c>
      <c r="J76" s="8"/>
      <c r="K76" s="9" t="str">
        <f t="shared" si="6"/>
        <v/>
      </c>
      <c r="L76" s="8"/>
      <c r="M76" s="9" t="str">
        <f t="shared" si="7"/>
        <v/>
      </c>
      <c r="N76" s="14" t="str">
        <f>IFERROR(VLOOKUP(F76,'Menu &amp; Pricing'!$A$5:$I$54,6,FALSE),"")</f>
        <v/>
      </c>
      <c r="O76" s="9" t="str">
        <f t="shared" si="8"/>
        <v/>
      </c>
      <c r="P76" s="3"/>
      <c r="Q76" s="3"/>
      <c r="R76" s="3"/>
      <c r="S76" s="3"/>
      <c r="T76" s="3"/>
      <c r="U76" s="7">
        <f>IF(AND(A76&lt;&gt;"",Q76="Paid",R76="Completed",COUNTIFS($A$5:A76,A76,$B$5:B76,B76,$Q$5:Q76,"Paid",$R$5:R76,"Completed")=1),1,0)</f>
        <v>0</v>
      </c>
    </row>
    <row r="77" spans="1:21">
      <c r="A77" s="3"/>
      <c r="B77" s="4"/>
      <c r="C77" s="12"/>
      <c r="D77" s="3"/>
      <c r="E77" s="3"/>
      <c r="F77" s="3"/>
      <c r="G77" s="11" t="str">
        <f>IFERROR(VLOOKUP(F77,'Menu &amp; Pricing'!$A$5:$I$54,2,FALSE),"")</f>
        <v/>
      </c>
      <c r="H77" s="13"/>
      <c r="I77" s="14" t="str">
        <f>IFERROR(VLOOKUP(F77,'Menu &amp; Pricing'!$A$5:$I$54,5,FALSE),"")</f>
        <v/>
      </c>
      <c r="J77" s="8"/>
      <c r="K77" s="9" t="str">
        <f t="shared" si="6"/>
        <v/>
      </c>
      <c r="L77" s="8"/>
      <c r="M77" s="9" t="str">
        <f t="shared" si="7"/>
        <v/>
      </c>
      <c r="N77" s="14" t="str">
        <f>IFERROR(VLOOKUP(F77,'Menu &amp; Pricing'!$A$5:$I$54,6,FALSE),"")</f>
        <v/>
      </c>
      <c r="O77" s="9" t="str">
        <f t="shared" si="8"/>
        <v/>
      </c>
      <c r="P77" s="3"/>
      <c r="Q77" s="3"/>
      <c r="R77" s="3"/>
      <c r="S77" s="3"/>
      <c r="T77" s="3"/>
      <c r="U77" s="7">
        <f>IF(AND(A77&lt;&gt;"",Q77="Paid",R77="Completed",COUNTIFS($A$5:A77,A77,$B$5:B77,B77,$Q$5:Q77,"Paid",$R$5:R77,"Completed")=1),1,0)</f>
        <v>0</v>
      </c>
    </row>
    <row r="78" spans="1:21">
      <c r="A78" s="3"/>
      <c r="B78" s="4"/>
      <c r="C78" s="12"/>
      <c r="D78" s="3"/>
      <c r="E78" s="3"/>
      <c r="F78" s="3"/>
      <c r="G78" s="11" t="str">
        <f>IFERROR(VLOOKUP(F78,'Menu &amp; Pricing'!$A$5:$I$54,2,FALSE),"")</f>
        <v/>
      </c>
      <c r="H78" s="13"/>
      <c r="I78" s="14" t="str">
        <f>IFERROR(VLOOKUP(F78,'Menu &amp; Pricing'!$A$5:$I$54,5,FALSE),"")</f>
        <v/>
      </c>
      <c r="J78" s="8"/>
      <c r="K78" s="9" t="str">
        <f t="shared" si="6"/>
        <v/>
      </c>
      <c r="L78" s="8"/>
      <c r="M78" s="9" t="str">
        <f t="shared" si="7"/>
        <v/>
      </c>
      <c r="N78" s="14" t="str">
        <f>IFERROR(VLOOKUP(F78,'Menu &amp; Pricing'!$A$5:$I$54,6,FALSE),"")</f>
        <v/>
      </c>
      <c r="O78" s="9" t="str">
        <f t="shared" si="8"/>
        <v/>
      </c>
      <c r="P78" s="3"/>
      <c r="Q78" s="3"/>
      <c r="R78" s="3"/>
      <c r="S78" s="3"/>
      <c r="T78" s="3"/>
      <c r="U78" s="7">
        <f>IF(AND(A78&lt;&gt;"",Q78="Paid",R78="Completed",COUNTIFS($A$5:A78,A78,$B$5:B78,B78,$Q$5:Q78,"Paid",$R$5:R78,"Completed")=1),1,0)</f>
        <v>0</v>
      </c>
    </row>
    <row r="79" spans="1:21">
      <c r="A79" s="3"/>
      <c r="B79" s="4"/>
      <c r="C79" s="12"/>
      <c r="D79" s="3"/>
      <c r="E79" s="3"/>
      <c r="F79" s="3"/>
      <c r="G79" s="11" t="str">
        <f>IFERROR(VLOOKUP(F79,'Menu &amp; Pricing'!$A$5:$I$54,2,FALSE),"")</f>
        <v/>
      </c>
      <c r="H79" s="13"/>
      <c r="I79" s="14" t="str">
        <f>IFERROR(VLOOKUP(F79,'Menu &amp; Pricing'!$A$5:$I$54,5,FALSE),"")</f>
        <v/>
      </c>
      <c r="J79" s="8"/>
      <c r="K79" s="9" t="str">
        <f t="shared" si="6"/>
        <v/>
      </c>
      <c r="L79" s="8"/>
      <c r="M79" s="9" t="str">
        <f t="shared" si="7"/>
        <v/>
      </c>
      <c r="N79" s="14" t="str">
        <f>IFERROR(VLOOKUP(F79,'Menu &amp; Pricing'!$A$5:$I$54,6,FALSE),"")</f>
        <v/>
      </c>
      <c r="O79" s="9" t="str">
        <f t="shared" si="8"/>
        <v/>
      </c>
      <c r="P79" s="3"/>
      <c r="Q79" s="3"/>
      <c r="R79" s="3"/>
      <c r="S79" s="3"/>
      <c r="T79" s="3"/>
      <c r="U79" s="7">
        <f>IF(AND(A79&lt;&gt;"",Q79="Paid",R79="Completed",COUNTIFS($A$5:A79,A79,$B$5:B79,B79,$Q$5:Q79,"Paid",$R$5:R79,"Completed")=1),1,0)</f>
        <v>0</v>
      </c>
    </row>
    <row r="80" spans="1:21">
      <c r="A80" s="3"/>
      <c r="B80" s="4"/>
      <c r="C80" s="12"/>
      <c r="D80" s="3"/>
      <c r="E80" s="3"/>
      <c r="F80" s="3"/>
      <c r="G80" s="11" t="str">
        <f>IFERROR(VLOOKUP(F80,'Menu &amp; Pricing'!$A$5:$I$54,2,FALSE),"")</f>
        <v/>
      </c>
      <c r="H80" s="13"/>
      <c r="I80" s="14" t="str">
        <f>IFERROR(VLOOKUP(F80,'Menu &amp; Pricing'!$A$5:$I$54,5,FALSE),"")</f>
        <v/>
      </c>
      <c r="J80" s="8"/>
      <c r="K80" s="9" t="str">
        <f t="shared" si="6"/>
        <v/>
      </c>
      <c r="L80" s="8"/>
      <c r="M80" s="9" t="str">
        <f t="shared" si="7"/>
        <v/>
      </c>
      <c r="N80" s="14" t="str">
        <f>IFERROR(VLOOKUP(F80,'Menu &amp; Pricing'!$A$5:$I$54,6,FALSE),"")</f>
        <v/>
      </c>
      <c r="O80" s="9" t="str">
        <f t="shared" si="8"/>
        <v/>
      </c>
      <c r="P80" s="3"/>
      <c r="Q80" s="3"/>
      <c r="R80" s="3"/>
      <c r="S80" s="3"/>
      <c r="T80" s="3"/>
      <c r="U80" s="7">
        <f>IF(AND(A80&lt;&gt;"",Q80="Paid",R80="Completed",COUNTIFS($A$5:A80,A80,$B$5:B80,B80,$Q$5:Q80,"Paid",$R$5:R80,"Completed")=1),1,0)</f>
        <v>0</v>
      </c>
    </row>
    <row r="81" spans="1:21">
      <c r="A81" s="3"/>
      <c r="B81" s="4"/>
      <c r="C81" s="12"/>
      <c r="D81" s="3"/>
      <c r="E81" s="3"/>
      <c r="F81" s="3"/>
      <c r="G81" s="11" t="str">
        <f>IFERROR(VLOOKUP(F81,'Menu &amp; Pricing'!$A$5:$I$54,2,FALSE),"")</f>
        <v/>
      </c>
      <c r="H81" s="13"/>
      <c r="I81" s="14" t="str">
        <f>IFERROR(VLOOKUP(F81,'Menu &amp; Pricing'!$A$5:$I$54,5,FALSE),"")</f>
        <v/>
      </c>
      <c r="J81" s="8"/>
      <c r="K81" s="9" t="str">
        <f t="shared" si="6"/>
        <v/>
      </c>
      <c r="L81" s="8"/>
      <c r="M81" s="9" t="str">
        <f t="shared" si="7"/>
        <v/>
      </c>
      <c r="N81" s="14" t="str">
        <f>IFERROR(VLOOKUP(F81,'Menu &amp; Pricing'!$A$5:$I$54,6,FALSE),"")</f>
        <v/>
      </c>
      <c r="O81" s="9" t="str">
        <f t="shared" si="8"/>
        <v/>
      </c>
      <c r="P81" s="3"/>
      <c r="Q81" s="3"/>
      <c r="R81" s="3"/>
      <c r="S81" s="3"/>
      <c r="T81" s="3"/>
      <c r="U81" s="7">
        <f>IF(AND(A81&lt;&gt;"",Q81="Paid",R81="Completed",COUNTIFS($A$5:A81,A81,$B$5:B81,B81,$Q$5:Q81,"Paid",$R$5:R81,"Completed")=1),1,0)</f>
        <v>0</v>
      </c>
    </row>
    <row r="82" spans="1:21">
      <c r="A82" s="3"/>
      <c r="B82" s="4"/>
      <c r="C82" s="12"/>
      <c r="D82" s="3"/>
      <c r="E82" s="3"/>
      <c r="F82" s="3"/>
      <c r="G82" s="11" t="str">
        <f>IFERROR(VLOOKUP(F82,'Menu &amp; Pricing'!$A$5:$I$54,2,FALSE),"")</f>
        <v/>
      </c>
      <c r="H82" s="13"/>
      <c r="I82" s="14" t="str">
        <f>IFERROR(VLOOKUP(F82,'Menu &amp; Pricing'!$A$5:$I$54,5,FALSE),"")</f>
        <v/>
      </c>
      <c r="J82" s="8"/>
      <c r="K82" s="9" t="str">
        <f t="shared" si="6"/>
        <v/>
      </c>
      <c r="L82" s="8"/>
      <c r="M82" s="9" t="str">
        <f t="shared" si="7"/>
        <v/>
      </c>
      <c r="N82" s="14" t="str">
        <f>IFERROR(VLOOKUP(F82,'Menu &amp; Pricing'!$A$5:$I$54,6,FALSE),"")</f>
        <v/>
      </c>
      <c r="O82" s="9" t="str">
        <f t="shared" si="8"/>
        <v/>
      </c>
      <c r="P82" s="3"/>
      <c r="Q82" s="3"/>
      <c r="R82" s="3"/>
      <c r="S82" s="3"/>
      <c r="T82" s="3"/>
      <c r="U82" s="7">
        <f>IF(AND(A82&lt;&gt;"",Q82="Paid",R82="Completed",COUNTIFS($A$5:A82,A82,$B$5:B82,B82,$Q$5:Q82,"Paid",$R$5:R82,"Completed")=1),1,0)</f>
        <v>0</v>
      </c>
    </row>
    <row r="83" spans="1:21">
      <c r="A83" s="3"/>
      <c r="B83" s="4"/>
      <c r="C83" s="12"/>
      <c r="D83" s="3"/>
      <c r="E83" s="3"/>
      <c r="F83" s="3"/>
      <c r="G83" s="11" t="str">
        <f>IFERROR(VLOOKUP(F83,'Menu &amp; Pricing'!$A$5:$I$54,2,FALSE),"")</f>
        <v/>
      </c>
      <c r="H83" s="13"/>
      <c r="I83" s="14" t="str">
        <f>IFERROR(VLOOKUP(F83,'Menu &amp; Pricing'!$A$5:$I$54,5,FALSE),"")</f>
        <v/>
      </c>
      <c r="J83" s="8"/>
      <c r="K83" s="9" t="str">
        <f t="shared" si="6"/>
        <v/>
      </c>
      <c r="L83" s="8"/>
      <c r="M83" s="9" t="str">
        <f t="shared" si="7"/>
        <v/>
      </c>
      <c r="N83" s="14" t="str">
        <f>IFERROR(VLOOKUP(F83,'Menu &amp; Pricing'!$A$5:$I$54,6,FALSE),"")</f>
        <v/>
      </c>
      <c r="O83" s="9" t="str">
        <f t="shared" si="8"/>
        <v/>
      </c>
      <c r="P83" s="3"/>
      <c r="Q83" s="3"/>
      <c r="R83" s="3"/>
      <c r="S83" s="3"/>
      <c r="T83" s="3"/>
      <c r="U83" s="7">
        <f>IF(AND(A83&lt;&gt;"",Q83="Paid",R83="Completed",COUNTIFS($A$5:A83,A83,$B$5:B83,B83,$Q$5:Q83,"Paid",$R$5:R83,"Completed")=1),1,0)</f>
        <v>0</v>
      </c>
    </row>
    <row r="84" spans="1:21">
      <c r="A84" s="3"/>
      <c r="B84" s="4"/>
      <c r="C84" s="12"/>
      <c r="D84" s="3"/>
      <c r="E84" s="3"/>
      <c r="F84" s="3"/>
      <c r="G84" s="11" t="str">
        <f>IFERROR(VLOOKUP(F84,'Menu &amp; Pricing'!$A$5:$I$54,2,FALSE),"")</f>
        <v/>
      </c>
      <c r="H84" s="13"/>
      <c r="I84" s="14" t="str">
        <f>IFERROR(VLOOKUP(F84,'Menu &amp; Pricing'!$A$5:$I$54,5,FALSE),"")</f>
        <v/>
      </c>
      <c r="J84" s="8"/>
      <c r="K84" s="9" t="str">
        <f t="shared" si="6"/>
        <v/>
      </c>
      <c r="L84" s="8"/>
      <c r="M84" s="9" t="str">
        <f t="shared" si="7"/>
        <v/>
      </c>
      <c r="N84" s="14" t="str">
        <f>IFERROR(VLOOKUP(F84,'Menu &amp; Pricing'!$A$5:$I$54,6,FALSE),"")</f>
        <v/>
      </c>
      <c r="O84" s="9" t="str">
        <f t="shared" si="8"/>
        <v/>
      </c>
      <c r="P84" s="3"/>
      <c r="Q84" s="3"/>
      <c r="R84" s="3"/>
      <c r="S84" s="3"/>
      <c r="T84" s="3"/>
      <c r="U84" s="7">
        <f>IF(AND(A84&lt;&gt;"",Q84="Paid",R84="Completed",COUNTIFS($A$5:A84,A84,$B$5:B84,B84,$Q$5:Q84,"Paid",$R$5:R84,"Completed")=1),1,0)</f>
        <v>0</v>
      </c>
    </row>
    <row r="85" spans="1:21">
      <c r="A85" s="3"/>
      <c r="B85" s="4"/>
      <c r="C85" s="12"/>
      <c r="D85" s="3"/>
      <c r="E85" s="3"/>
      <c r="F85" s="3"/>
      <c r="G85" s="11" t="str">
        <f>IFERROR(VLOOKUP(F85,'Menu &amp; Pricing'!$A$5:$I$54,2,FALSE),"")</f>
        <v/>
      </c>
      <c r="H85" s="13"/>
      <c r="I85" s="14" t="str">
        <f>IFERROR(VLOOKUP(F85,'Menu &amp; Pricing'!$A$5:$I$54,5,FALSE),"")</f>
        <v/>
      </c>
      <c r="J85" s="8"/>
      <c r="K85" s="9" t="str">
        <f t="shared" si="6"/>
        <v/>
      </c>
      <c r="L85" s="8"/>
      <c r="M85" s="9" t="str">
        <f t="shared" si="7"/>
        <v/>
      </c>
      <c r="N85" s="14" t="str">
        <f>IFERROR(VLOOKUP(F85,'Menu &amp; Pricing'!$A$5:$I$54,6,FALSE),"")</f>
        <v/>
      </c>
      <c r="O85" s="9" t="str">
        <f t="shared" si="8"/>
        <v/>
      </c>
      <c r="P85" s="3"/>
      <c r="Q85" s="3"/>
      <c r="R85" s="3"/>
      <c r="S85" s="3"/>
      <c r="T85" s="3"/>
      <c r="U85" s="7">
        <f>IF(AND(A85&lt;&gt;"",Q85="Paid",R85="Completed",COUNTIFS($A$5:A85,A85,$B$5:B85,B85,$Q$5:Q85,"Paid",$R$5:R85,"Completed")=1),1,0)</f>
        <v>0</v>
      </c>
    </row>
    <row r="86" spans="1:21">
      <c r="A86" s="3"/>
      <c r="B86" s="4"/>
      <c r="C86" s="12"/>
      <c r="D86" s="3"/>
      <c r="E86" s="3"/>
      <c r="F86" s="3"/>
      <c r="G86" s="11" t="str">
        <f>IFERROR(VLOOKUP(F86,'Menu &amp; Pricing'!$A$5:$I$54,2,FALSE),"")</f>
        <v/>
      </c>
      <c r="H86" s="13"/>
      <c r="I86" s="14" t="str">
        <f>IFERROR(VLOOKUP(F86,'Menu &amp; Pricing'!$A$5:$I$54,5,FALSE),"")</f>
        <v/>
      </c>
      <c r="J86" s="8"/>
      <c r="K86" s="9" t="str">
        <f t="shared" si="6"/>
        <v/>
      </c>
      <c r="L86" s="8"/>
      <c r="M86" s="9" t="str">
        <f t="shared" si="7"/>
        <v/>
      </c>
      <c r="N86" s="14" t="str">
        <f>IFERROR(VLOOKUP(F86,'Menu &amp; Pricing'!$A$5:$I$54,6,FALSE),"")</f>
        <v/>
      </c>
      <c r="O86" s="9" t="str">
        <f t="shared" si="8"/>
        <v/>
      </c>
      <c r="P86" s="3"/>
      <c r="Q86" s="3"/>
      <c r="R86" s="3"/>
      <c r="S86" s="3"/>
      <c r="T86" s="3"/>
      <c r="U86" s="7">
        <f>IF(AND(A86&lt;&gt;"",Q86="Paid",R86="Completed",COUNTIFS($A$5:A86,A86,$B$5:B86,B86,$Q$5:Q86,"Paid",$R$5:R86,"Completed")=1),1,0)</f>
        <v>0</v>
      </c>
    </row>
    <row r="87" spans="1:21">
      <c r="A87" s="3"/>
      <c r="B87" s="4"/>
      <c r="C87" s="12"/>
      <c r="D87" s="3"/>
      <c r="E87" s="3"/>
      <c r="F87" s="3"/>
      <c r="G87" s="11" t="str">
        <f>IFERROR(VLOOKUP(F87,'Menu &amp; Pricing'!$A$5:$I$54,2,FALSE),"")</f>
        <v/>
      </c>
      <c r="H87" s="13"/>
      <c r="I87" s="14" t="str">
        <f>IFERROR(VLOOKUP(F87,'Menu &amp; Pricing'!$A$5:$I$54,5,FALSE),"")</f>
        <v/>
      </c>
      <c r="J87" s="8"/>
      <c r="K87" s="9" t="str">
        <f t="shared" si="6"/>
        <v/>
      </c>
      <c r="L87" s="8"/>
      <c r="M87" s="9" t="str">
        <f t="shared" si="7"/>
        <v/>
      </c>
      <c r="N87" s="14" t="str">
        <f>IFERROR(VLOOKUP(F87,'Menu &amp; Pricing'!$A$5:$I$54,6,FALSE),"")</f>
        <v/>
      </c>
      <c r="O87" s="9" t="str">
        <f t="shared" si="8"/>
        <v/>
      </c>
      <c r="P87" s="3"/>
      <c r="Q87" s="3"/>
      <c r="R87" s="3"/>
      <c r="S87" s="3"/>
      <c r="T87" s="3"/>
      <c r="U87" s="7">
        <f>IF(AND(A87&lt;&gt;"",Q87="Paid",R87="Completed",COUNTIFS($A$5:A87,A87,$B$5:B87,B87,$Q$5:Q87,"Paid",$R$5:R87,"Completed")=1),1,0)</f>
        <v>0</v>
      </c>
    </row>
    <row r="88" spans="1:21">
      <c r="A88" s="3"/>
      <c r="B88" s="4"/>
      <c r="C88" s="12"/>
      <c r="D88" s="3"/>
      <c r="E88" s="3"/>
      <c r="F88" s="3"/>
      <c r="G88" s="11" t="str">
        <f>IFERROR(VLOOKUP(F88,'Menu &amp; Pricing'!$A$5:$I$54,2,FALSE),"")</f>
        <v/>
      </c>
      <c r="H88" s="13"/>
      <c r="I88" s="14" t="str">
        <f>IFERROR(VLOOKUP(F88,'Menu &amp; Pricing'!$A$5:$I$54,5,FALSE),"")</f>
        <v/>
      </c>
      <c r="J88" s="8"/>
      <c r="K88" s="9" t="str">
        <f t="shared" si="6"/>
        <v/>
      </c>
      <c r="L88" s="8"/>
      <c r="M88" s="9" t="str">
        <f t="shared" si="7"/>
        <v/>
      </c>
      <c r="N88" s="14" t="str">
        <f>IFERROR(VLOOKUP(F88,'Menu &amp; Pricing'!$A$5:$I$54,6,FALSE),"")</f>
        <v/>
      </c>
      <c r="O88" s="9" t="str">
        <f t="shared" si="8"/>
        <v/>
      </c>
      <c r="P88" s="3"/>
      <c r="Q88" s="3"/>
      <c r="R88" s="3"/>
      <c r="S88" s="3"/>
      <c r="T88" s="3"/>
      <c r="U88" s="7">
        <f>IF(AND(A88&lt;&gt;"",Q88="Paid",R88="Completed",COUNTIFS($A$5:A88,A88,$B$5:B88,B88,$Q$5:Q88,"Paid",$R$5:R88,"Completed")=1),1,0)</f>
        <v>0</v>
      </c>
    </row>
    <row r="89" spans="1:21">
      <c r="A89" s="3"/>
      <c r="B89" s="4"/>
      <c r="C89" s="12"/>
      <c r="D89" s="3"/>
      <c r="E89" s="3"/>
      <c r="F89" s="3"/>
      <c r="G89" s="11" t="str">
        <f>IFERROR(VLOOKUP(F89,'Menu &amp; Pricing'!$A$5:$I$54,2,FALSE),"")</f>
        <v/>
      </c>
      <c r="H89" s="13"/>
      <c r="I89" s="14" t="str">
        <f>IFERROR(VLOOKUP(F89,'Menu &amp; Pricing'!$A$5:$I$54,5,FALSE),"")</f>
        <v/>
      </c>
      <c r="J89" s="8"/>
      <c r="K89" s="9" t="str">
        <f t="shared" si="6"/>
        <v/>
      </c>
      <c r="L89" s="8"/>
      <c r="M89" s="9" t="str">
        <f t="shared" si="7"/>
        <v/>
      </c>
      <c r="N89" s="14" t="str">
        <f>IFERROR(VLOOKUP(F89,'Menu &amp; Pricing'!$A$5:$I$54,6,FALSE),"")</f>
        <v/>
      </c>
      <c r="O89" s="9" t="str">
        <f t="shared" si="8"/>
        <v/>
      </c>
      <c r="P89" s="3"/>
      <c r="Q89" s="3"/>
      <c r="R89" s="3"/>
      <c r="S89" s="3"/>
      <c r="T89" s="3"/>
      <c r="U89" s="7">
        <f>IF(AND(A89&lt;&gt;"",Q89="Paid",R89="Completed",COUNTIFS($A$5:A89,A89,$B$5:B89,B89,$Q$5:Q89,"Paid",$R$5:R89,"Completed")=1),1,0)</f>
        <v>0</v>
      </c>
    </row>
    <row r="90" spans="1:21">
      <c r="A90" s="3"/>
      <c r="B90" s="4"/>
      <c r="C90" s="12"/>
      <c r="D90" s="3"/>
      <c r="E90" s="3"/>
      <c r="F90" s="3"/>
      <c r="G90" s="11" t="str">
        <f>IFERROR(VLOOKUP(F90,'Menu &amp; Pricing'!$A$5:$I$54,2,FALSE),"")</f>
        <v/>
      </c>
      <c r="H90" s="13"/>
      <c r="I90" s="14" t="str">
        <f>IFERROR(VLOOKUP(F90,'Menu &amp; Pricing'!$A$5:$I$54,5,FALSE),"")</f>
        <v/>
      </c>
      <c r="J90" s="8"/>
      <c r="K90" s="9" t="str">
        <f t="shared" si="6"/>
        <v/>
      </c>
      <c r="L90" s="8"/>
      <c r="M90" s="9" t="str">
        <f t="shared" si="7"/>
        <v/>
      </c>
      <c r="N90" s="14" t="str">
        <f>IFERROR(VLOOKUP(F90,'Menu &amp; Pricing'!$A$5:$I$54,6,FALSE),"")</f>
        <v/>
      </c>
      <c r="O90" s="9" t="str">
        <f t="shared" si="8"/>
        <v/>
      </c>
      <c r="P90" s="3"/>
      <c r="Q90" s="3"/>
      <c r="R90" s="3"/>
      <c r="S90" s="3"/>
      <c r="T90" s="3"/>
      <c r="U90" s="7">
        <f>IF(AND(A90&lt;&gt;"",Q90="Paid",R90="Completed",COUNTIFS($A$5:A90,A90,$B$5:B90,B90,$Q$5:Q90,"Paid",$R$5:R90,"Completed")=1),1,0)</f>
        <v>0</v>
      </c>
    </row>
    <row r="91" spans="1:21">
      <c r="A91" s="3"/>
      <c r="B91" s="4"/>
      <c r="C91" s="12"/>
      <c r="D91" s="3"/>
      <c r="E91" s="3"/>
      <c r="F91" s="3"/>
      <c r="G91" s="11" t="str">
        <f>IFERROR(VLOOKUP(F91,'Menu &amp; Pricing'!$A$5:$I$54,2,FALSE),"")</f>
        <v/>
      </c>
      <c r="H91" s="13"/>
      <c r="I91" s="14" t="str">
        <f>IFERROR(VLOOKUP(F91,'Menu &amp; Pricing'!$A$5:$I$54,5,FALSE),"")</f>
        <v/>
      </c>
      <c r="J91" s="8"/>
      <c r="K91" s="9" t="str">
        <f t="shared" si="6"/>
        <v/>
      </c>
      <c r="L91" s="8"/>
      <c r="M91" s="9" t="str">
        <f t="shared" si="7"/>
        <v/>
      </c>
      <c r="N91" s="14" t="str">
        <f>IFERROR(VLOOKUP(F91,'Menu &amp; Pricing'!$A$5:$I$54,6,FALSE),"")</f>
        <v/>
      </c>
      <c r="O91" s="9" t="str">
        <f t="shared" si="8"/>
        <v/>
      </c>
      <c r="P91" s="3"/>
      <c r="Q91" s="3"/>
      <c r="R91" s="3"/>
      <c r="S91" s="3"/>
      <c r="T91" s="3"/>
      <c r="U91" s="7">
        <f>IF(AND(A91&lt;&gt;"",Q91="Paid",R91="Completed",COUNTIFS($A$5:A91,A91,$B$5:B91,B91,$Q$5:Q91,"Paid",$R$5:R91,"Completed")=1),1,0)</f>
        <v>0</v>
      </c>
    </row>
    <row r="92" spans="1:21">
      <c r="A92" s="3"/>
      <c r="B92" s="4"/>
      <c r="C92" s="12"/>
      <c r="D92" s="3"/>
      <c r="E92" s="3"/>
      <c r="F92" s="3"/>
      <c r="G92" s="11" t="str">
        <f>IFERROR(VLOOKUP(F92,'Menu &amp; Pricing'!$A$5:$I$54,2,FALSE),"")</f>
        <v/>
      </c>
      <c r="H92" s="13"/>
      <c r="I92" s="14" t="str">
        <f>IFERROR(VLOOKUP(F92,'Menu &amp; Pricing'!$A$5:$I$54,5,FALSE),"")</f>
        <v/>
      </c>
      <c r="J92" s="8"/>
      <c r="K92" s="9" t="str">
        <f t="shared" si="6"/>
        <v/>
      </c>
      <c r="L92" s="8"/>
      <c r="M92" s="9" t="str">
        <f t="shared" si="7"/>
        <v/>
      </c>
      <c r="N92" s="14" t="str">
        <f>IFERROR(VLOOKUP(F92,'Menu &amp; Pricing'!$A$5:$I$54,6,FALSE),"")</f>
        <v/>
      </c>
      <c r="O92" s="9" t="str">
        <f t="shared" si="8"/>
        <v/>
      </c>
      <c r="P92" s="3"/>
      <c r="Q92" s="3"/>
      <c r="R92" s="3"/>
      <c r="S92" s="3"/>
      <c r="T92" s="3"/>
      <c r="U92" s="7">
        <f>IF(AND(A92&lt;&gt;"",Q92="Paid",R92="Completed",COUNTIFS($A$5:A92,A92,$B$5:B92,B92,$Q$5:Q92,"Paid",$R$5:R92,"Completed")=1),1,0)</f>
        <v>0</v>
      </c>
    </row>
    <row r="93" spans="1:21">
      <c r="A93" s="3"/>
      <c r="B93" s="4"/>
      <c r="C93" s="12"/>
      <c r="D93" s="3"/>
      <c r="E93" s="3"/>
      <c r="F93" s="3"/>
      <c r="G93" s="11" t="str">
        <f>IFERROR(VLOOKUP(F93,'Menu &amp; Pricing'!$A$5:$I$54,2,FALSE),"")</f>
        <v/>
      </c>
      <c r="H93" s="13"/>
      <c r="I93" s="14" t="str">
        <f>IFERROR(VLOOKUP(F93,'Menu &amp; Pricing'!$A$5:$I$54,5,FALSE),"")</f>
        <v/>
      </c>
      <c r="J93" s="8"/>
      <c r="K93" s="9" t="str">
        <f t="shared" si="6"/>
        <v/>
      </c>
      <c r="L93" s="8"/>
      <c r="M93" s="9" t="str">
        <f t="shared" si="7"/>
        <v/>
      </c>
      <c r="N93" s="14" t="str">
        <f>IFERROR(VLOOKUP(F93,'Menu &amp; Pricing'!$A$5:$I$54,6,FALSE),"")</f>
        <v/>
      </c>
      <c r="O93" s="9" t="str">
        <f t="shared" si="8"/>
        <v/>
      </c>
      <c r="P93" s="3"/>
      <c r="Q93" s="3"/>
      <c r="R93" s="3"/>
      <c r="S93" s="3"/>
      <c r="T93" s="3"/>
      <c r="U93" s="7">
        <f>IF(AND(A93&lt;&gt;"",Q93="Paid",R93="Completed",COUNTIFS($A$5:A93,A93,$B$5:B93,B93,$Q$5:Q93,"Paid",$R$5:R93,"Completed")=1),1,0)</f>
        <v>0</v>
      </c>
    </row>
    <row r="94" spans="1:21">
      <c r="A94" s="3"/>
      <c r="B94" s="4"/>
      <c r="C94" s="12"/>
      <c r="D94" s="3"/>
      <c r="E94" s="3"/>
      <c r="F94" s="3"/>
      <c r="G94" s="11" t="str">
        <f>IFERROR(VLOOKUP(F94,'Menu &amp; Pricing'!$A$5:$I$54,2,FALSE),"")</f>
        <v/>
      </c>
      <c r="H94" s="13"/>
      <c r="I94" s="14" t="str">
        <f>IFERROR(VLOOKUP(F94,'Menu &amp; Pricing'!$A$5:$I$54,5,FALSE),"")</f>
        <v/>
      </c>
      <c r="J94" s="8"/>
      <c r="K94" s="9" t="str">
        <f t="shared" si="6"/>
        <v/>
      </c>
      <c r="L94" s="8"/>
      <c r="M94" s="9" t="str">
        <f t="shared" si="7"/>
        <v/>
      </c>
      <c r="N94" s="14" t="str">
        <f>IFERROR(VLOOKUP(F94,'Menu &amp; Pricing'!$A$5:$I$54,6,FALSE),"")</f>
        <v/>
      </c>
      <c r="O94" s="9" t="str">
        <f t="shared" si="8"/>
        <v/>
      </c>
      <c r="P94" s="3"/>
      <c r="Q94" s="3"/>
      <c r="R94" s="3"/>
      <c r="S94" s="3"/>
      <c r="T94" s="3"/>
      <c r="U94" s="7">
        <f>IF(AND(A94&lt;&gt;"",Q94="Paid",R94="Completed",COUNTIFS($A$5:A94,A94,$B$5:B94,B94,$Q$5:Q94,"Paid",$R$5:R94,"Completed")=1),1,0)</f>
        <v>0</v>
      </c>
    </row>
    <row r="95" spans="1:21">
      <c r="A95" s="3"/>
      <c r="B95" s="4"/>
      <c r="C95" s="12"/>
      <c r="D95" s="3"/>
      <c r="E95" s="3"/>
      <c r="F95" s="3"/>
      <c r="G95" s="11" t="str">
        <f>IFERROR(VLOOKUP(F95,'Menu &amp; Pricing'!$A$5:$I$54,2,FALSE),"")</f>
        <v/>
      </c>
      <c r="H95" s="13"/>
      <c r="I95" s="14" t="str">
        <f>IFERROR(VLOOKUP(F95,'Menu &amp; Pricing'!$A$5:$I$54,5,FALSE),"")</f>
        <v/>
      </c>
      <c r="J95" s="8"/>
      <c r="K95" s="9" t="str">
        <f t="shared" si="6"/>
        <v/>
      </c>
      <c r="L95" s="8"/>
      <c r="M95" s="9" t="str">
        <f t="shared" si="7"/>
        <v/>
      </c>
      <c r="N95" s="14" t="str">
        <f>IFERROR(VLOOKUP(F95,'Menu &amp; Pricing'!$A$5:$I$54,6,FALSE),"")</f>
        <v/>
      </c>
      <c r="O95" s="9" t="str">
        <f t="shared" si="8"/>
        <v/>
      </c>
      <c r="P95" s="3"/>
      <c r="Q95" s="3"/>
      <c r="R95" s="3"/>
      <c r="S95" s="3"/>
      <c r="T95" s="3"/>
      <c r="U95" s="7">
        <f>IF(AND(A95&lt;&gt;"",Q95="Paid",R95="Completed",COUNTIFS($A$5:A95,A95,$B$5:B95,B95,$Q$5:Q95,"Paid",$R$5:R95,"Completed")=1),1,0)</f>
        <v>0</v>
      </c>
    </row>
    <row r="96" spans="1:21">
      <c r="A96" s="3"/>
      <c r="B96" s="4"/>
      <c r="C96" s="12"/>
      <c r="D96" s="3"/>
      <c r="E96" s="3"/>
      <c r="F96" s="3"/>
      <c r="G96" s="11" t="str">
        <f>IFERROR(VLOOKUP(F96,'Menu &amp; Pricing'!$A$5:$I$54,2,FALSE),"")</f>
        <v/>
      </c>
      <c r="H96" s="13"/>
      <c r="I96" s="14" t="str">
        <f>IFERROR(VLOOKUP(F96,'Menu &amp; Pricing'!$A$5:$I$54,5,FALSE),"")</f>
        <v/>
      </c>
      <c r="J96" s="8"/>
      <c r="K96" s="9" t="str">
        <f t="shared" si="6"/>
        <v/>
      </c>
      <c r="L96" s="8"/>
      <c r="M96" s="9" t="str">
        <f t="shared" si="7"/>
        <v/>
      </c>
      <c r="N96" s="14" t="str">
        <f>IFERROR(VLOOKUP(F96,'Menu &amp; Pricing'!$A$5:$I$54,6,FALSE),"")</f>
        <v/>
      </c>
      <c r="O96" s="9" t="str">
        <f t="shared" si="8"/>
        <v/>
      </c>
      <c r="P96" s="3"/>
      <c r="Q96" s="3"/>
      <c r="R96" s="3"/>
      <c r="S96" s="3"/>
      <c r="T96" s="3"/>
      <c r="U96" s="7">
        <f>IF(AND(A96&lt;&gt;"",Q96="Paid",R96="Completed",COUNTIFS($A$5:A96,A96,$B$5:B96,B96,$Q$5:Q96,"Paid",$R$5:R96,"Completed")=1),1,0)</f>
        <v>0</v>
      </c>
    </row>
    <row r="97" spans="1:21">
      <c r="A97" s="3"/>
      <c r="B97" s="4"/>
      <c r="C97" s="12"/>
      <c r="D97" s="3"/>
      <c r="E97" s="3"/>
      <c r="F97" s="3"/>
      <c r="G97" s="11" t="str">
        <f>IFERROR(VLOOKUP(F97,'Menu &amp; Pricing'!$A$5:$I$54,2,FALSE),"")</f>
        <v/>
      </c>
      <c r="H97" s="13"/>
      <c r="I97" s="14" t="str">
        <f>IFERROR(VLOOKUP(F97,'Menu &amp; Pricing'!$A$5:$I$54,5,FALSE),"")</f>
        <v/>
      </c>
      <c r="J97" s="8"/>
      <c r="K97" s="9" t="str">
        <f t="shared" si="6"/>
        <v/>
      </c>
      <c r="L97" s="8"/>
      <c r="M97" s="9" t="str">
        <f t="shared" si="7"/>
        <v/>
      </c>
      <c r="N97" s="14" t="str">
        <f>IFERROR(VLOOKUP(F97,'Menu &amp; Pricing'!$A$5:$I$54,6,FALSE),"")</f>
        <v/>
      </c>
      <c r="O97" s="9" t="str">
        <f t="shared" si="8"/>
        <v/>
      </c>
      <c r="P97" s="3"/>
      <c r="Q97" s="3"/>
      <c r="R97" s="3"/>
      <c r="S97" s="3"/>
      <c r="T97" s="3"/>
      <c r="U97" s="7">
        <f>IF(AND(A97&lt;&gt;"",Q97="Paid",R97="Completed",COUNTIFS($A$5:A97,A97,$B$5:B97,B97,$Q$5:Q97,"Paid",$R$5:R97,"Completed")=1),1,0)</f>
        <v>0</v>
      </c>
    </row>
    <row r="98" spans="1:21">
      <c r="A98" s="3"/>
      <c r="B98" s="4"/>
      <c r="C98" s="12"/>
      <c r="D98" s="3"/>
      <c r="E98" s="3"/>
      <c r="F98" s="3"/>
      <c r="G98" s="11" t="str">
        <f>IFERROR(VLOOKUP(F98,'Menu &amp; Pricing'!$A$5:$I$54,2,FALSE),"")</f>
        <v/>
      </c>
      <c r="H98" s="13"/>
      <c r="I98" s="14" t="str">
        <f>IFERROR(VLOOKUP(F98,'Menu &amp; Pricing'!$A$5:$I$54,5,FALSE),"")</f>
        <v/>
      </c>
      <c r="J98" s="8"/>
      <c r="K98" s="9" t="str">
        <f t="shared" si="6"/>
        <v/>
      </c>
      <c r="L98" s="8"/>
      <c r="M98" s="9" t="str">
        <f t="shared" si="7"/>
        <v/>
      </c>
      <c r="N98" s="14" t="str">
        <f>IFERROR(VLOOKUP(F98,'Menu &amp; Pricing'!$A$5:$I$54,6,FALSE),"")</f>
        <v/>
      </c>
      <c r="O98" s="9" t="str">
        <f t="shared" si="8"/>
        <v/>
      </c>
      <c r="P98" s="3"/>
      <c r="Q98" s="3"/>
      <c r="R98" s="3"/>
      <c r="S98" s="3"/>
      <c r="T98" s="3"/>
      <c r="U98" s="7">
        <f>IF(AND(A98&lt;&gt;"",Q98="Paid",R98="Completed",COUNTIFS($A$5:A98,A98,$B$5:B98,B98,$Q$5:Q98,"Paid",$R$5:R98,"Completed")=1),1,0)</f>
        <v>0</v>
      </c>
    </row>
    <row r="99" spans="1:21">
      <c r="A99" s="3"/>
      <c r="B99" s="4"/>
      <c r="C99" s="12"/>
      <c r="D99" s="3"/>
      <c r="E99" s="3"/>
      <c r="F99" s="3"/>
      <c r="G99" s="11" t="str">
        <f>IFERROR(VLOOKUP(F99,'Menu &amp; Pricing'!$A$5:$I$54,2,FALSE),"")</f>
        <v/>
      </c>
      <c r="H99" s="13"/>
      <c r="I99" s="14" t="str">
        <f>IFERROR(VLOOKUP(F99,'Menu &amp; Pricing'!$A$5:$I$54,5,FALSE),"")</f>
        <v/>
      </c>
      <c r="J99" s="8"/>
      <c r="K99" s="9" t="str">
        <f t="shared" si="6"/>
        <v/>
      </c>
      <c r="L99" s="8"/>
      <c r="M99" s="9" t="str">
        <f t="shared" si="7"/>
        <v/>
      </c>
      <c r="N99" s="14" t="str">
        <f>IFERROR(VLOOKUP(F99,'Menu &amp; Pricing'!$A$5:$I$54,6,FALSE),"")</f>
        <v/>
      </c>
      <c r="O99" s="9" t="str">
        <f t="shared" si="8"/>
        <v/>
      </c>
      <c r="P99" s="3"/>
      <c r="Q99" s="3"/>
      <c r="R99" s="3"/>
      <c r="S99" s="3"/>
      <c r="T99" s="3"/>
      <c r="U99" s="7">
        <f>IF(AND(A99&lt;&gt;"",Q99="Paid",R99="Completed",COUNTIFS($A$5:A99,A99,$B$5:B99,B99,$Q$5:Q99,"Paid",$R$5:R99,"Completed")=1),1,0)</f>
        <v>0</v>
      </c>
    </row>
    <row r="100" spans="1:21">
      <c r="A100" s="3"/>
      <c r="B100" s="4"/>
      <c r="C100" s="12"/>
      <c r="D100" s="3"/>
      <c r="E100" s="3"/>
      <c r="F100" s="3"/>
      <c r="G100" s="11" t="str">
        <f>IFERROR(VLOOKUP(F100,'Menu &amp; Pricing'!$A$5:$I$54,2,FALSE),"")</f>
        <v/>
      </c>
      <c r="H100" s="13"/>
      <c r="I100" s="14" t="str">
        <f>IFERROR(VLOOKUP(F100,'Menu &amp; Pricing'!$A$5:$I$54,5,FALSE),"")</f>
        <v/>
      </c>
      <c r="J100" s="8"/>
      <c r="K100" s="9" t="str">
        <f t="shared" si="6"/>
        <v/>
      </c>
      <c r="L100" s="8"/>
      <c r="M100" s="9" t="str">
        <f t="shared" si="7"/>
        <v/>
      </c>
      <c r="N100" s="14" t="str">
        <f>IFERROR(VLOOKUP(F100,'Menu &amp; Pricing'!$A$5:$I$54,6,FALSE),"")</f>
        <v/>
      </c>
      <c r="O100" s="9" t="str">
        <f t="shared" si="8"/>
        <v/>
      </c>
      <c r="P100" s="3"/>
      <c r="Q100" s="3"/>
      <c r="R100" s="3"/>
      <c r="S100" s="3"/>
      <c r="T100" s="3"/>
      <c r="U100" s="7">
        <f>IF(AND(A100&lt;&gt;"",Q100="Paid",R100="Completed",COUNTIFS($A$5:A100,A100,$B$5:B100,B100,$Q$5:Q100,"Paid",$R$5:R100,"Completed")=1),1,0)</f>
        <v>0</v>
      </c>
    </row>
    <row r="101" spans="1:21">
      <c r="A101" s="3"/>
      <c r="B101" s="4"/>
      <c r="C101" s="12"/>
      <c r="D101" s="3"/>
      <c r="E101" s="3"/>
      <c r="F101" s="3"/>
      <c r="G101" s="11" t="str">
        <f>IFERROR(VLOOKUP(F101,'Menu &amp; Pricing'!$A$5:$I$54,2,FALSE),"")</f>
        <v/>
      </c>
      <c r="H101" s="13"/>
      <c r="I101" s="14" t="str">
        <f>IFERROR(VLOOKUP(F101,'Menu &amp; Pricing'!$A$5:$I$54,5,FALSE),"")</f>
        <v/>
      </c>
      <c r="J101" s="8"/>
      <c r="K101" s="9" t="str">
        <f t="shared" ref="K101:K132" si="9">IF(OR(H101="",I101=""),"",H101*I101+IF(J101="",0,J101))</f>
        <v/>
      </c>
      <c r="L101" s="8"/>
      <c r="M101" s="9" t="str">
        <f t="shared" ref="M101:M132" si="10">IF(K101="","",MAX(0,K101-IF(L101="",0,L101)))</f>
        <v/>
      </c>
      <c r="N101" s="14" t="str">
        <f>IFERROR(VLOOKUP(F101,'Menu &amp; Pricing'!$A$5:$I$54,6,FALSE),"")</f>
        <v/>
      </c>
      <c r="O101" s="9" t="str">
        <f t="shared" ref="O101:O132" si="11">IF(OR(H101="",N101=""),"",H101*N101)</f>
        <v/>
      </c>
      <c r="P101" s="3"/>
      <c r="Q101" s="3"/>
      <c r="R101" s="3"/>
      <c r="S101" s="3"/>
      <c r="T101" s="3"/>
      <c r="U101" s="7">
        <f>IF(AND(A101&lt;&gt;"",Q101="Paid",R101="Completed",COUNTIFS($A$5:A101,A101,$B$5:B101,B101,$Q$5:Q101,"Paid",$R$5:R101,"Completed")=1),1,0)</f>
        <v>0</v>
      </c>
    </row>
    <row r="102" spans="1:21">
      <c r="A102" s="3"/>
      <c r="B102" s="4"/>
      <c r="C102" s="12"/>
      <c r="D102" s="3"/>
      <c r="E102" s="3"/>
      <c r="F102" s="3"/>
      <c r="G102" s="11" t="str">
        <f>IFERROR(VLOOKUP(F102,'Menu &amp; Pricing'!$A$5:$I$54,2,FALSE),"")</f>
        <v/>
      </c>
      <c r="H102" s="13"/>
      <c r="I102" s="14" t="str">
        <f>IFERROR(VLOOKUP(F102,'Menu &amp; Pricing'!$A$5:$I$54,5,FALSE),"")</f>
        <v/>
      </c>
      <c r="J102" s="8"/>
      <c r="K102" s="9" t="str">
        <f t="shared" si="9"/>
        <v/>
      </c>
      <c r="L102" s="8"/>
      <c r="M102" s="9" t="str">
        <f t="shared" si="10"/>
        <v/>
      </c>
      <c r="N102" s="14" t="str">
        <f>IFERROR(VLOOKUP(F102,'Menu &amp; Pricing'!$A$5:$I$54,6,FALSE),"")</f>
        <v/>
      </c>
      <c r="O102" s="9" t="str">
        <f t="shared" si="11"/>
        <v/>
      </c>
      <c r="P102" s="3"/>
      <c r="Q102" s="3"/>
      <c r="R102" s="3"/>
      <c r="S102" s="3"/>
      <c r="T102" s="3"/>
      <c r="U102" s="7">
        <f>IF(AND(A102&lt;&gt;"",Q102="Paid",R102="Completed",COUNTIFS($A$5:A102,A102,$B$5:B102,B102,$Q$5:Q102,"Paid",$R$5:R102,"Completed")=1),1,0)</f>
        <v>0</v>
      </c>
    </row>
    <row r="103" spans="1:21">
      <c r="A103" s="3"/>
      <c r="B103" s="4"/>
      <c r="C103" s="12"/>
      <c r="D103" s="3"/>
      <c r="E103" s="3"/>
      <c r="F103" s="3"/>
      <c r="G103" s="11" t="str">
        <f>IFERROR(VLOOKUP(F103,'Menu &amp; Pricing'!$A$5:$I$54,2,FALSE),"")</f>
        <v/>
      </c>
      <c r="H103" s="13"/>
      <c r="I103" s="14" t="str">
        <f>IFERROR(VLOOKUP(F103,'Menu &amp; Pricing'!$A$5:$I$54,5,FALSE),"")</f>
        <v/>
      </c>
      <c r="J103" s="8"/>
      <c r="K103" s="9" t="str">
        <f t="shared" si="9"/>
        <v/>
      </c>
      <c r="L103" s="8"/>
      <c r="M103" s="9" t="str">
        <f t="shared" si="10"/>
        <v/>
      </c>
      <c r="N103" s="14" t="str">
        <f>IFERROR(VLOOKUP(F103,'Menu &amp; Pricing'!$A$5:$I$54,6,FALSE),"")</f>
        <v/>
      </c>
      <c r="O103" s="9" t="str">
        <f t="shared" si="11"/>
        <v/>
      </c>
      <c r="P103" s="3"/>
      <c r="Q103" s="3"/>
      <c r="R103" s="3"/>
      <c r="S103" s="3"/>
      <c r="T103" s="3"/>
      <c r="U103" s="7">
        <f>IF(AND(A103&lt;&gt;"",Q103="Paid",R103="Completed",COUNTIFS($A$5:A103,A103,$B$5:B103,B103,$Q$5:Q103,"Paid",$R$5:R103,"Completed")=1),1,0)</f>
        <v>0</v>
      </c>
    </row>
    <row r="104" spans="1:21">
      <c r="A104" s="3"/>
      <c r="B104" s="4"/>
      <c r="C104" s="12"/>
      <c r="D104" s="3"/>
      <c r="E104" s="3"/>
      <c r="F104" s="3"/>
      <c r="G104" s="11" t="str">
        <f>IFERROR(VLOOKUP(F104,'Menu &amp; Pricing'!$A$5:$I$54,2,FALSE),"")</f>
        <v/>
      </c>
      <c r="H104" s="13"/>
      <c r="I104" s="14" t="str">
        <f>IFERROR(VLOOKUP(F104,'Menu &amp; Pricing'!$A$5:$I$54,5,FALSE),"")</f>
        <v/>
      </c>
      <c r="J104" s="8"/>
      <c r="K104" s="9" t="str">
        <f t="shared" si="9"/>
        <v/>
      </c>
      <c r="L104" s="8"/>
      <c r="M104" s="9" t="str">
        <f t="shared" si="10"/>
        <v/>
      </c>
      <c r="N104" s="14" t="str">
        <f>IFERROR(VLOOKUP(F104,'Menu &amp; Pricing'!$A$5:$I$54,6,FALSE),"")</f>
        <v/>
      </c>
      <c r="O104" s="9" t="str">
        <f t="shared" si="11"/>
        <v/>
      </c>
      <c r="P104" s="3"/>
      <c r="Q104" s="3"/>
      <c r="R104" s="3"/>
      <c r="S104" s="3"/>
      <c r="T104" s="3"/>
      <c r="U104" s="7">
        <f>IF(AND(A104&lt;&gt;"",Q104="Paid",R104="Completed",COUNTIFS($A$5:A104,A104,$B$5:B104,B104,$Q$5:Q104,"Paid",$R$5:R104,"Completed")=1),1,0)</f>
        <v>0</v>
      </c>
    </row>
    <row r="105" spans="1:21">
      <c r="A105" s="3"/>
      <c r="B105" s="4"/>
      <c r="C105" s="12"/>
      <c r="D105" s="3"/>
      <c r="E105" s="3"/>
      <c r="F105" s="3"/>
      <c r="G105" s="11" t="str">
        <f>IFERROR(VLOOKUP(F105,'Menu &amp; Pricing'!$A$5:$I$54,2,FALSE),"")</f>
        <v/>
      </c>
      <c r="H105" s="13"/>
      <c r="I105" s="14" t="str">
        <f>IFERROR(VLOOKUP(F105,'Menu &amp; Pricing'!$A$5:$I$54,5,FALSE),"")</f>
        <v/>
      </c>
      <c r="J105" s="8"/>
      <c r="K105" s="9" t="str">
        <f t="shared" si="9"/>
        <v/>
      </c>
      <c r="L105" s="8"/>
      <c r="M105" s="9" t="str">
        <f t="shared" si="10"/>
        <v/>
      </c>
      <c r="N105" s="14" t="str">
        <f>IFERROR(VLOOKUP(F105,'Menu &amp; Pricing'!$A$5:$I$54,6,FALSE),"")</f>
        <v/>
      </c>
      <c r="O105" s="9" t="str">
        <f t="shared" si="11"/>
        <v/>
      </c>
      <c r="P105" s="3"/>
      <c r="Q105" s="3"/>
      <c r="R105" s="3"/>
      <c r="S105" s="3"/>
      <c r="T105" s="3"/>
      <c r="U105" s="7">
        <f>IF(AND(A105&lt;&gt;"",Q105="Paid",R105="Completed",COUNTIFS($A$5:A105,A105,$B$5:B105,B105,$Q$5:Q105,"Paid",$R$5:R105,"Completed")=1),1,0)</f>
        <v>0</v>
      </c>
    </row>
    <row r="106" spans="1:21">
      <c r="A106" s="3"/>
      <c r="B106" s="4"/>
      <c r="C106" s="12"/>
      <c r="D106" s="3"/>
      <c r="E106" s="3"/>
      <c r="F106" s="3"/>
      <c r="G106" s="11" t="str">
        <f>IFERROR(VLOOKUP(F106,'Menu &amp; Pricing'!$A$5:$I$54,2,FALSE),"")</f>
        <v/>
      </c>
      <c r="H106" s="13"/>
      <c r="I106" s="14" t="str">
        <f>IFERROR(VLOOKUP(F106,'Menu &amp; Pricing'!$A$5:$I$54,5,FALSE),"")</f>
        <v/>
      </c>
      <c r="J106" s="8"/>
      <c r="K106" s="9" t="str">
        <f t="shared" si="9"/>
        <v/>
      </c>
      <c r="L106" s="8"/>
      <c r="M106" s="9" t="str">
        <f t="shared" si="10"/>
        <v/>
      </c>
      <c r="N106" s="14" t="str">
        <f>IFERROR(VLOOKUP(F106,'Menu &amp; Pricing'!$A$5:$I$54,6,FALSE),"")</f>
        <v/>
      </c>
      <c r="O106" s="9" t="str">
        <f t="shared" si="11"/>
        <v/>
      </c>
      <c r="P106" s="3"/>
      <c r="Q106" s="3"/>
      <c r="R106" s="3"/>
      <c r="S106" s="3"/>
      <c r="T106" s="3"/>
      <c r="U106" s="7">
        <f>IF(AND(A106&lt;&gt;"",Q106="Paid",R106="Completed",COUNTIFS($A$5:A106,A106,$B$5:B106,B106,$Q$5:Q106,"Paid",$R$5:R106,"Completed")=1),1,0)</f>
        <v>0</v>
      </c>
    </row>
    <row r="107" spans="1:21">
      <c r="A107" s="3"/>
      <c r="B107" s="4"/>
      <c r="C107" s="12"/>
      <c r="D107" s="3"/>
      <c r="E107" s="3"/>
      <c r="F107" s="3"/>
      <c r="G107" s="11" t="str">
        <f>IFERROR(VLOOKUP(F107,'Menu &amp; Pricing'!$A$5:$I$54,2,FALSE),"")</f>
        <v/>
      </c>
      <c r="H107" s="13"/>
      <c r="I107" s="14" t="str">
        <f>IFERROR(VLOOKUP(F107,'Menu &amp; Pricing'!$A$5:$I$54,5,FALSE),"")</f>
        <v/>
      </c>
      <c r="J107" s="8"/>
      <c r="K107" s="9" t="str">
        <f t="shared" si="9"/>
        <v/>
      </c>
      <c r="L107" s="8"/>
      <c r="M107" s="9" t="str">
        <f t="shared" si="10"/>
        <v/>
      </c>
      <c r="N107" s="14" t="str">
        <f>IFERROR(VLOOKUP(F107,'Menu &amp; Pricing'!$A$5:$I$54,6,FALSE),"")</f>
        <v/>
      </c>
      <c r="O107" s="9" t="str">
        <f t="shared" si="11"/>
        <v/>
      </c>
      <c r="P107" s="3"/>
      <c r="Q107" s="3"/>
      <c r="R107" s="3"/>
      <c r="S107" s="3"/>
      <c r="T107" s="3"/>
      <c r="U107" s="7">
        <f>IF(AND(A107&lt;&gt;"",Q107="Paid",R107="Completed",COUNTIFS($A$5:A107,A107,$B$5:B107,B107,$Q$5:Q107,"Paid",$R$5:R107,"Completed")=1),1,0)</f>
        <v>0</v>
      </c>
    </row>
    <row r="108" spans="1:21">
      <c r="A108" s="3"/>
      <c r="B108" s="4"/>
      <c r="C108" s="12"/>
      <c r="D108" s="3"/>
      <c r="E108" s="3"/>
      <c r="F108" s="3"/>
      <c r="G108" s="11" t="str">
        <f>IFERROR(VLOOKUP(F108,'Menu &amp; Pricing'!$A$5:$I$54,2,FALSE),"")</f>
        <v/>
      </c>
      <c r="H108" s="13"/>
      <c r="I108" s="14" t="str">
        <f>IFERROR(VLOOKUP(F108,'Menu &amp; Pricing'!$A$5:$I$54,5,FALSE),"")</f>
        <v/>
      </c>
      <c r="J108" s="8"/>
      <c r="K108" s="9" t="str">
        <f t="shared" si="9"/>
        <v/>
      </c>
      <c r="L108" s="8"/>
      <c r="M108" s="9" t="str">
        <f t="shared" si="10"/>
        <v/>
      </c>
      <c r="N108" s="14" t="str">
        <f>IFERROR(VLOOKUP(F108,'Menu &amp; Pricing'!$A$5:$I$54,6,FALSE),"")</f>
        <v/>
      </c>
      <c r="O108" s="9" t="str">
        <f t="shared" si="11"/>
        <v/>
      </c>
      <c r="P108" s="3"/>
      <c r="Q108" s="3"/>
      <c r="R108" s="3"/>
      <c r="S108" s="3"/>
      <c r="T108" s="3"/>
      <c r="U108" s="7">
        <f>IF(AND(A108&lt;&gt;"",Q108="Paid",R108="Completed",COUNTIFS($A$5:A108,A108,$B$5:B108,B108,$Q$5:Q108,"Paid",$R$5:R108,"Completed")=1),1,0)</f>
        <v>0</v>
      </c>
    </row>
    <row r="109" spans="1:21">
      <c r="A109" s="3"/>
      <c r="B109" s="4"/>
      <c r="C109" s="12"/>
      <c r="D109" s="3"/>
      <c r="E109" s="3"/>
      <c r="F109" s="3"/>
      <c r="G109" s="11" t="str">
        <f>IFERROR(VLOOKUP(F109,'Menu &amp; Pricing'!$A$5:$I$54,2,FALSE),"")</f>
        <v/>
      </c>
      <c r="H109" s="13"/>
      <c r="I109" s="14" t="str">
        <f>IFERROR(VLOOKUP(F109,'Menu &amp; Pricing'!$A$5:$I$54,5,FALSE),"")</f>
        <v/>
      </c>
      <c r="J109" s="8"/>
      <c r="K109" s="9" t="str">
        <f t="shared" si="9"/>
        <v/>
      </c>
      <c r="L109" s="8"/>
      <c r="M109" s="9" t="str">
        <f t="shared" si="10"/>
        <v/>
      </c>
      <c r="N109" s="14" t="str">
        <f>IFERROR(VLOOKUP(F109,'Menu &amp; Pricing'!$A$5:$I$54,6,FALSE),"")</f>
        <v/>
      </c>
      <c r="O109" s="9" t="str">
        <f t="shared" si="11"/>
        <v/>
      </c>
      <c r="P109" s="3"/>
      <c r="Q109" s="3"/>
      <c r="R109" s="3"/>
      <c r="S109" s="3"/>
      <c r="T109" s="3"/>
      <c r="U109" s="7">
        <f>IF(AND(A109&lt;&gt;"",Q109="Paid",R109="Completed",COUNTIFS($A$5:A109,A109,$B$5:B109,B109,$Q$5:Q109,"Paid",$R$5:R109,"Completed")=1),1,0)</f>
        <v>0</v>
      </c>
    </row>
    <row r="110" spans="1:21">
      <c r="A110" s="3"/>
      <c r="B110" s="4"/>
      <c r="C110" s="12"/>
      <c r="D110" s="3"/>
      <c r="E110" s="3"/>
      <c r="F110" s="3"/>
      <c r="G110" s="11" t="str">
        <f>IFERROR(VLOOKUP(F110,'Menu &amp; Pricing'!$A$5:$I$54,2,FALSE),"")</f>
        <v/>
      </c>
      <c r="H110" s="13"/>
      <c r="I110" s="14" t="str">
        <f>IFERROR(VLOOKUP(F110,'Menu &amp; Pricing'!$A$5:$I$54,5,FALSE),"")</f>
        <v/>
      </c>
      <c r="J110" s="8"/>
      <c r="K110" s="9" t="str">
        <f t="shared" si="9"/>
        <v/>
      </c>
      <c r="L110" s="8"/>
      <c r="M110" s="9" t="str">
        <f t="shared" si="10"/>
        <v/>
      </c>
      <c r="N110" s="14" t="str">
        <f>IFERROR(VLOOKUP(F110,'Menu &amp; Pricing'!$A$5:$I$54,6,FALSE),"")</f>
        <v/>
      </c>
      <c r="O110" s="9" t="str">
        <f t="shared" si="11"/>
        <v/>
      </c>
      <c r="P110" s="3"/>
      <c r="Q110" s="3"/>
      <c r="R110" s="3"/>
      <c r="S110" s="3"/>
      <c r="T110" s="3"/>
      <c r="U110" s="7">
        <f>IF(AND(A110&lt;&gt;"",Q110="Paid",R110="Completed",COUNTIFS($A$5:A110,A110,$B$5:B110,B110,$Q$5:Q110,"Paid",$R$5:R110,"Completed")=1),1,0)</f>
        <v>0</v>
      </c>
    </row>
    <row r="111" spans="1:21">
      <c r="A111" s="3"/>
      <c r="B111" s="4"/>
      <c r="C111" s="12"/>
      <c r="D111" s="3"/>
      <c r="E111" s="3"/>
      <c r="F111" s="3"/>
      <c r="G111" s="11" t="str">
        <f>IFERROR(VLOOKUP(F111,'Menu &amp; Pricing'!$A$5:$I$54,2,FALSE),"")</f>
        <v/>
      </c>
      <c r="H111" s="13"/>
      <c r="I111" s="14" t="str">
        <f>IFERROR(VLOOKUP(F111,'Menu &amp; Pricing'!$A$5:$I$54,5,FALSE),"")</f>
        <v/>
      </c>
      <c r="J111" s="8"/>
      <c r="K111" s="9" t="str">
        <f t="shared" si="9"/>
        <v/>
      </c>
      <c r="L111" s="8"/>
      <c r="M111" s="9" t="str">
        <f t="shared" si="10"/>
        <v/>
      </c>
      <c r="N111" s="14" t="str">
        <f>IFERROR(VLOOKUP(F111,'Menu &amp; Pricing'!$A$5:$I$54,6,FALSE),"")</f>
        <v/>
      </c>
      <c r="O111" s="9" t="str">
        <f t="shared" si="11"/>
        <v/>
      </c>
      <c r="P111" s="3"/>
      <c r="Q111" s="3"/>
      <c r="R111" s="3"/>
      <c r="S111" s="3"/>
      <c r="T111" s="3"/>
      <c r="U111" s="7">
        <f>IF(AND(A111&lt;&gt;"",Q111="Paid",R111="Completed",COUNTIFS($A$5:A111,A111,$B$5:B111,B111,$Q$5:Q111,"Paid",$R$5:R111,"Completed")=1),1,0)</f>
        <v>0</v>
      </c>
    </row>
    <row r="112" spans="1:21">
      <c r="A112" s="3"/>
      <c r="B112" s="4"/>
      <c r="C112" s="12"/>
      <c r="D112" s="3"/>
      <c r="E112" s="3"/>
      <c r="F112" s="3"/>
      <c r="G112" s="11" t="str">
        <f>IFERROR(VLOOKUP(F112,'Menu &amp; Pricing'!$A$5:$I$54,2,FALSE),"")</f>
        <v/>
      </c>
      <c r="H112" s="13"/>
      <c r="I112" s="14" t="str">
        <f>IFERROR(VLOOKUP(F112,'Menu &amp; Pricing'!$A$5:$I$54,5,FALSE),"")</f>
        <v/>
      </c>
      <c r="J112" s="8"/>
      <c r="K112" s="9" t="str">
        <f t="shared" si="9"/>
        <v/>
      </c>
      <c r="L112" s="8"/>
      <c r="M112" s="9" t="str">
        <f t="shared" si="10"/>
        <v/>
      </c>
      <c r="N112" s="14" t="str">
        <f>IFERROR(VLOOKUP(F112,'Menu &amp; Pricing'!$A$5:$I$54,6,FALSE),"")</f>
        <v/>
      </c>
      <c r="O112" s="9" t="str">
        <f t="shared" si="11"/>
        <v/>
      </c>
      <c r="P112" s="3"/>
      <c r="Q112" s="3"/>
      <c r="R112" s="3"/>
      <c r="S112" s="3"/>
      <c r="T112" s="3"/>
      <c r="U112" s="7">
        <f>IF(AND(A112&lt;&gt;"",Q112="Paid",R112="Completed",COUNTIFS($A$5:A112,A112,$B$5:B112,B112,$Q$5:Q112,"Paid",$R$5:R112,"Completed")=1),1,0)</f>
        <v>0</v>
      </c>
    </row>
    <row r="113" spans="1:21">
      <c r="A113" s="3"/>
      <c r="B113" s="4"/>
      <c r="C113" s="12"/>
      <c r="D113" s="3"/>
      <c r="E113" s="3"/>
      <c r="F113" s="3"/>
      <c r="G113" s="11" t="str">
        <f>IFERROR(VLOOKUP(F113,'Menu &amp; Pricing'!$A$5:$I$54,2,FALSE),"")</f>
        <v/>
      </c>
      <c r="H113" s="13"/>
      <c r="I113" s="14" t="str">
        <f>IFERROR(VLOOKUP(F113,'Menu &amp; Pricing'!$A$5:$I$54,5,FALSE),"")</f>
        <v/>
      </c>
      <c r="J113" s="8"/>
      <c r="K113" s="9" t="str">
        <f t="shared" si="9"/>
        <v/>
      </c>
      <c r="L113" s="8"/>
      <c r="M113" s="9" t="str">
        <f t="shared" si="10"/>
        <v/>
      </c>
      <c r="N113" s="14" t="str">
        <f>IFERROR(VLOOKUP(F113,'Menu &amp; Pricing'!$A$5:$I$54,6,FALSE),"")</f>
        <v/>
      </c>
      <c r="O113" s="9" t="str">
        <f t="shared" si="11"/>
        <v/>
      </c>
      <c r="P113" s="3"/>
      <c r="Q113" s="3"/>
      <c r="R113" s="3"/>
      <c r="S113" s="3"/>
      <c r="T113" s="3"/>
      <c r="U113" s="7">
        <f>IF(AND(A113&lt;&gt;"",Q113="Paid",R113="Completed",COUNTIFS($A$5:A113,A113,$B$5:B113,B113,$Q$5:Q113,"Paid",$R$5:R113,"Completed")=1),1,0)</f>
        <v>0</v>
      </c>
    </row>
    <row r="114" spans="1:21">
      <c r="A114" s="3"/>
      <c r="B114" s="4"/>
      <c r="C114" s="12"/>
      <c r="D114" s="3"/>
      <c r="E114" s="3"/>
      <c r="F114" s="3"/>
      <c r="G114" s="11" t="str">
        <f>IFERROR(VLOOKUP(F114,'Menu &amp; Pricing'!$A$5:$I$54,2,FALSE),"")</f>
        <v/>
      </c>
      <c r="H114" s="13"/>
      <c r="I114" s="14" t="str">
        <f>IFERROR(VLOOKUP(F114,'Menu &amp; Pricing'!$A$5:$I$54,5,FALSE),"")</f>
        <v/>
      </c>
      <c r="J114" s="8"/>
      <c r="K114" s="9" t="str">
        <f t="shared" si="9"/>
        <v/>
      </c>
      <c r="L114" s="8"/>
      <c r="M114" s="9" t="str">
        <f t="shared" si="10"/>
        <v/>
      </c>
      <c r="N114" s="14" t="str">
        <f>IFERROR(VLOOKUP(F114,'Menu &amp; Pricing'!$A$5:$I$54,6,FALSE),"")</f>
        <v/>
      </c>
      <c r="O114" s="9" t="str">
        <f t="shared" si="11"/>
        <v/>
      </c>
      <c r="P114" s="3"/>
      <c r="Q114" s="3"/>
      <c r="R114" s="3"/>
      <c r="S114" s="3"/>
      <c r="T114" s="3"/>
      <c r="U114" s="7">
        <f>IF(AND(A114&lt;&gt;"",Q114="Paid",R114="Completed",COUNTIFS($A$5:A114,A114,$B$5:B114,B114,$Q$5:Q114,"Paid",$R$5:R114,"Completed")=1),1,0)</f>
        <v>0</v>
      </c>
    </row>
    <row r="115" spans="1:21">
      <c r="A115" s="3"/>
      <c r="B115" s="4"/>
      <c r="C115" s="12"/>
      <c r="D115" s="3"/>
      <c r="E115" s="3"/>
      <c r="F115" s="3"/>
      <c r="G115" s="11" t="str">
        <f>IFERROR(VLOOKUP(F115,'Menu &amp; Pricing'!$A$5:$I$54,2,FALSE),"")</f>
        <v/>
      </c>
      <c r="H115" s="13"/>
      <c r="I115" s="14" t="str">
        <f>IFERROR(VLOOKUP(F115,'Menu &amp; Pricing'!$A$5:$I$54,5,FALSE),"")</f>
        <v/>
      </c>
      <c r="J115" s="8"/>
      <c r="K115" s="9" t="str">
        <f t="shared" si="9"/>
        <v/>
      </c>
      <c r="L115" s="8"/>
      <c r="M115" s="9" t="str">
        <f t="shared" si="10"/>
        <v/>
      </c>
      <c r="N115" s="14" t="str">
        <f>IFERROR(VLOOKUP(F115,'Menu &amp; Pricing'!$A$5:$I$54,6,FALSE),"")</f>
        <v/>
      </c>
      <c r="O115" s="9" t="str">
        <f t="shared" si="11"/>
        <v/>
      </c>
      <c r="P115" s="3"/>
      <c r="Q115" s="3"/>
      <c r="R115" s="3"/>
      <c r="S115" s="3"/>
      <c r="T115" s="3"/>
      <c r="U115" s="7">
        <f>IF(AND(A115&lt;&gt;"",Q115="Paid",R115="Completed",COUNTIFS($A$5:A115,A115,$B$5:B115,B115,$Q$5:Q115,"Paid",$R$5:R115,"Completed")=1),1,0)</f>
        <v>0</v>
      </c>
    </row>
    <row r="116" spans="1:21">
      <c r="A116" s="3"/>
      <c r="B116" s="4"/>
      <c r="C116" s="12"/>
      <c r="D116" s="3"/>
      <c r="E116" s="3"/>
      <c r="F116" s="3"/>
      <c r="G116" s="11" t="str">
        <f>IFERROR(VLOOKUP(F116,'Menu &amp; Pricing'!$A$5:$I$54,2,FALSE),"")</f>
        <v/>
      </c>
      <c r="H116" s="13"/>
      <c r="I116" s="14" t="str">
        <f>IFERROR(VLOOKUP(F116,'Menu &amp; Pricing'!$A$5:$I$54,5,FALSE),"")</f>
        <v/>
      </c>
      <c r="J116" s="8"/>
      <c r="K116" s="9" t="str">
        <f t="shared" si="9"/>
        <v/>
      </c>
      <c r="L116" s="8"/>
      <c r="M116" s="9" t="str">
        <f t="shared" si="10"/>
        <v/>
      </c>
      <c r="N116" s="14" t="str">
        <f>IFERROR(VLOOKUP(F116,'Menu &amp; Pricing'!$A$5:$I$54,6,FALSE),"")</f>
        <v/>
      </c>
      <c r="O116" s="9" t="str">
        <f t="shared" si="11"/>
        <v/>
      </c>
      <c r="P116" s="3"/>
      <c r="Q116" s="3"/>
      <c r="R116" s="3"/>
      <c r="S116" s="3"/>
      <c r="T116" s="3"/>
      <c r="U116" s="7">
        <f>IF(AND(A116&lt;&gt;"",Q116="Paid",R116="Completed",COUNTIFS($A$5:A116,A116,$B$5:B116,B116,$Q$5:Q116,"Paid",$R$5:R116,"Completed")=1),1,0)</f>
        <v>0</v>
      </c>
    </row>
    <row r="117" spans="1:21">
      <c r="A117" s="3"/>
      <c r="B117" s="4"/>
      <c r="C117" s="12"/>
      <c r="D117" s="3"/>
      <c r="E117" s="3"/>
      <c r="F117" s="3"/>
      <c r="G117" s="11" t="str">
        <f>IFERROR(VLOOKUP(F117,'Menu &amp; Pricing'!$A$5:$I$54,2,FALSE),"")</f>
        <v/>
      </c>
      <c r="H117" s="13"/>
      <c r="I117" s="14" t="str">
        <f>IFERROR(VLOOKUP(F117,'Menu &amp; Pricing'!$A$5:$I$54,5,FALSE),"")</f>
        <v/>
      </c>
      <c r="J117" s="8"/>
      <c r="K117" s="9" t="str">
        <f t="shared" si="9"/>
        <v/>
      </c>
      <c r="L117" s="8"/>
      <c r="M117" s="9" t="str">
        <f t="shared" si="10"/>
        <v/>
      </c>
      <c r="N117" s="14" t="str">
        <f>IFERROR(VLOOKUP(F117,'Menu &amp; Pricing'!$A$5:$I$54,6,FALSE),"")</f>
        <v/>
      </c>
      <c r="O117" s="9" t="str">
        <f t="shared" si="11"/>
        <v/>
      </c>
      <c r="P117" s="3"/>
      <c r="Q117" s="3"/>
      <c r="R117" s="3"/>
      <c r="S117" s="3"/>
      <c r="T117" s="3"/>
      <c r="U117" s="7">
        <f>IF(AND(A117&lt;&gt;"",Q117="Paid",R117="Completed",COUNTIFS($A$5:A117,A117,$B$5:B117,B117,$Q$5:Q117,"Paid",$R$5:R117,"Completed")=1),1,0)</f>
        <v>0</v>
      </c>
    </row>
    <row r="118" spans="1:21">
      <c r="A118" s="3"/>
      <c r="B118" s="4"/>
      <c r="C118" s="12"/>
      <c r="D118" s="3"/>
      <c r="E118" s="3"/>
      <c r="F118" s="3"/>
      <c r="G118" s="11" t="str">
        <f>IFERROR(VLOOKUP(F118,'Menu &amp; Pricing'!$A$5:$I$54,2,FALSE),"")</f>
        <v/>
      </c>
      <c r="H118" s="13"/>
      <c r="I118" s="14" t="str">
        <f>IFERROR(VLOOKUP(F118,'Menu &amp; Pricing'!$A$5:$I$54,5,FALSE),"")</f>
        <v/>
      </c>
      <c r="J118" s="8"/>
      <c r="K118" s="9" t="str">
        <f t="shared" si="9"/>
        <v/>
      </c>
      <c r="L118" s="8"/>
      <c r="M118" s="9" t="str">
        <f t="shared" si="10"/>
        <v/>
      </c>
      <c r="N118" s="14" t="str">
        <f>IFERROR(VLOOKUP(F118,'Menu &amp; Pricing'!$A$5:$I$54,6,FALSE),"")</f>
        <v/>
      </c>
      <c r="O118" s="9" t="str">
        <f t="shared" si="11"/>
        <v/>
      </c>
      <c r="P118" s="3"/>
      <c r="Q118" s="3"/>
      <c r="R118" s="3"/>
      <c r="S118" s="3"/>
      <c r="T118" s="3"/>
      <c r="U118" s="7">
        <f>IF(AND(A118&lt;&gt;"",Q118="Paid",R118="Completed",COUNTIFS($A$5:A118,A118,$B$5:B118,B118,$Q$5:Q118,"Paid",$R$5:R118,"Completed")=1),1,0)</f>
        <v>0</v>
      </c>
    </row>
    <row r="119" spans="1:21">
      <c r="A119" s="3"/>
      <c r="B119" s="4"/>
      <c r="C119" s="12"/>
      <c r="D119" s="3"/>
      <c r="E119" s="3"/>
      <c r="F119" s="3"/>
      <c r="G119" s="11" t="str">
        <f>IFERROR(VLOOKUP(F119,'Menu &amp; Pricing'!$A$5:$I$54,2,FALSE),"")</f>
        <v/>
      </c>
      <c r="H119" s="13"/>
      <c r="I119" s="14" t="str">
        <f>IFERROR(VLOOKUP(F119,'Menu &amp; Pricing'!$A$5:$I$54,5,FALSE),"")</f>
        <v/>
      </c>
      <c r="J119" s="8"/>
      <c r="K119" s="9" t="str">
        <f t="shared" si="9"/>
        <v/>
      </c>
      <c r="L119" s="8"/>
      <c r="M119" s="9" t="str">
        <f t="shared" si="10"/>
        <v/>
      </c>
      <c r="N119" s="14" t="str">
        <f>IFERROR(VLOOKUP(F119,'Menu &amp; Pricing'!$A$5:$I$54,6,FALSE),"")</f>
        <v/>
      </c>
      <c r="O119" s="9" t="str">
        <f t="shared" si="11"/>
        <v/>
      </c>
      <c r="P119" s="3"/>
      <c r="Q119" s="3"/>
      <c r="R119" s="3"/>
      <c r="S119" s="3"/>
      <c r="T119" s="3"/>
      <c r="U119" s="7">
        <f>IF(AND(A119&lt;&gt;"",Q119="Paid",R119="Completed",COUNTIFS($A$5:A119,A119,$B$5:B119,B119,$Q$5:Q119,"Paid",$R$5:R119,"Completed")=1),1,0)</f>
        <v>0</v>
      </c>
    </row>
    <row r="120" spans="1:21">
      <c r="A120" s="3"/>
      <c r="B120" s="4"/>
      <c r="C120" s="12"/>
      <c r="D120" s="3"/>
      <c r="E120" s="3"/>
      <c r="F120" s="3"/>
      <c r="G120" s="11" t="str">
        <f>IFERROR(VLOOKUP(F120,'Menu &amp; Pricing'!$A$5:$I$54,2,FALSE),"")</f>
        <v/>
      </c>
      <c r="H120" s="13"/>
      <c r="I120" s="14" t="str">
        <f>IFERROR(VLOOKUP(F120,'Menu &amp; Pricing'!$A$5:$I$54,5,FALSE),"")</f>
        <v/>
      </c>
      <c r="J120" s="8"/>
      <c r="K120" s="9" t="str">
        <f t="shared" si="9"/>
        <v/>
      </c>
      <c r="L120" s="8"/>
      <c r="M120" s="9" t="str">
        <f t="shared" si="10"/>
        <v/>
      </c>
      <c r="N120" s="14" t="str">
        <f>IFERROR(VLOOKUP(F120,'Menu &amp; Pricing'!$A$5:$I$54,6,FALSE),"")</f>
        <v/>
      </c>
      <c r="O120" s="9" t="str">
        <f t="shared" si="11"/>
        <v/>
      </c>
      <c r="P120" s="3"/>
      <c r="Q120" s="3"/>
      <c r="R120" s="3"/>
      <c r="S120" s="3"/>
      <c r="T120" s="3"/>
      <c r="U120" s="7">
        <f>IF(AND(A120&lt;&gt;"",Q120="Paid",R120="Completed",COUNTIFS($A$5:A120,A120,$B$5:B120,B120,$Q$5:Q120,"Paid",$R$5:R120,"Completed")=1),1,0)</f>
        <v>0</v>
      </c>
    </row>
    <row r="121" spans="1:21">
      <c r="A121" s="3"/>
      <c r="B121" s="4"/>
      <c r="C121" s="12"/>
      <c r="D121" s="3"/>
      <c r="E121" s="3"/>
      <c r="F121" s="3"/>
      <c r="G121" s="11" t="str">
        <f>IFERROR(VLOOKUP(F121,'Menu &amp; Pricing'!$A$5:$I$54,2,FALSE),"")</f>
        <v/>
      </c>
      <c r="H121" s="13"/>
      <c r="I121" s="14" t="str">
        <f>IFERROR(VLOOKUP(F121,'Menu &amp; Pricing'!$A$5:$I$54,5,FALSE),"")</f>
        <v/>
      </c>
      <c r="J121" s="8"/>
      <c r="K121" s="9" t="str">
        <f t="shared" si="9"/>
        <v/>
      </c>
      <c r="L121" s="8"/>
      <c r="M121" s="9" t="str">
        <f t="shared" si="10"/>
        <v/>
      </c>
      <c r="N121" s="14" t="str">
        <f>IFERROR(VLOOKUP(F121,'Menu &amp; Pricing'!$A$5:$I$54,6,FALSE),"")</f>
        <v/>
      </c>
      <c r="O121" s="9" t="str">
        <f t="shared" si="11"/>
        <v/>
      </c>
      <c r="P121" s="3"/>
      <c r="Q121" s="3"/>
      <c r="R121" s="3"/>
      <c r="S121" s="3"/>
      <c r="T121" s="3"/>
      <c r="U121" s="7">
        <f>IF(AND(A121&lt;&gt;"",Q121="Paid",R121="Completed",COUNTIFS($A$5:A121,A121,$B$5:B121,B121,$Q$5:Q121,"Paid",$R$5:R121,"Completed")=1),1,0)</f>
        <v>0</v>
      </c>
    </row>
    <row r="122" spans="1:21">
      <c r="A122" s="3"/>
      <c r="B122" s="4"/>
      <c r="C122" s="12"/>
      <c r="D122" s="3"/>
      <c r="E122" s="3"/>
      <c r="F122" s="3"/>
      <c r="G122" s="11" t="str">
        <f>IFERROR(VLOOKUP(F122,'Menu &amp; Pricing'!$A$5:$I$54,2,FALSE),"")</f>
        <v/>
      </c>
      <c r="H122" s="13"/>
      <c r="I122" s="14" t="str">
        <f>IFERROR(VLOOKUP(F122,'Menu &amp; Pricing'!$A$5:$I$54,5,FALSE),"")</f>
        <v/>
      </c>
      <c r="J122" s="8"/>
      <c r="K122" s="9" t="str">
        <f t="shared" si="9"/>
        <v/>
      </c>
      <c r="L122" s="8"/>
      <c r="M122" s="9" t="str">
        <f t="shared" si="10"/>
        <v/>
      </c>
      <c r="N122" s="14" t="str">
        <f>IFERROR(VLOOKUP(F122,'Menu &amp; Pricing'!$A$5:$I$54,6,FALSE),"")</f>
        <v/>
      </c>
      <c r="O122" s="9" t="str">
        <f t="shared" si="11"/>
        <v/>
      </c>
      <c r="P122" s="3"/>
      <c r="Q122" s="3"/>
      <c r="R122" s="3"/>
      <c r="S122" s="3"/>
      <c r="T122" s="3"/>
      <c r="U122" s="7">
        <f>IF(AND(A122&lt;&gt;"",Q122="Paid",R122="Completed",COUNTIFS($A$5:A122,A122,$B$5:B122,B122,$Q$5:Q122,"Paid",$R$5:R122,"Completed")=1),1,0)</f>
        <v>0</v>
      </c>
    </row>
    <row r="123" spans="1:21">
      <c r="A123" s="3"/>
      <c r="B123" s="4"/>
      <c r="C123" s="12"/>
      <c r="D123" s="3"/>
      <c r="E123" s="3"/>
      <c r="F123" s="3"/>
      <c r="G123" s="11" t="str">
        <f>IFERROR(VLOOKUP(F123,'Menu &amp; Pricing'!$A$5:$I$54,2,FALSE),"")</f>
        <v/>
      </c>
      <c r="H123" s="13"/>
      <c r="I123" s="14" t="str">
        <f>IFERROR(VLOOKUP(F123,'Menu &amp; Pricing'!$A$5:$I$54,5,FALSE),"")</f>
        <v/>
      </c>
      <c r="J123" s="8"/>
      <c r="K123" s="9" t="str">
        <f t="shared" si="9"/>
        <v/>
      </c>
      <c r="L123" s="8"/>
      <c r="M123" s="9" t="str">
        <f t="shared" si="10"/>
        <v/>
      </c>
      <c r="N123" s="14" t="str">
        <f>IFERROR(VLOOKUP(F123,'Menu &amp; Pricing'!$A$5:$I$54,6,FALSE),"")</f>
        <v/>
      </c>
      <c r="O123" s="9" t="str">
        <f t="shared" si="11"/>
        <v/>
      </c>
      <c r="P123" s="3"/>
      <c r="Q123" s="3"/>
      <c r="R123" s="3"/>
      <c r="S123" s="3"/>
      <c r="T123" s="3"/>
      <c r="U123" s="7">
        <f>IF(AND(A123&lt;&gt;"",Q123="Paid",R123="Completed",COUNTIFS($A$5:A123,A123,$B$5:B123,B123,$Q$5:Q123,"Paid",$R$5:R123,"Completed")=1),1,0)</f>
        <v>0</v>
      </c>
    </row>
    <row r="124" spans="1:21">
      <c r="A124" s="3"/>
      <c r="B124" s="4"/>
      <c r="C124" s="12"/>
      <c r="D124" s="3"/>
      <c r="E124" s="3"/>
      <c r="F124" s="3"/>
      <c r="G124" s="11" t="str">
        <f>IFERROR(VLOOKUP(F124,'Menu &amp; Pricing'!$A$5:$I$54,2,FALSE),"")</f>
        <v/>
      </c>
      <c r="H124" s="13"/>
      <c r="I124" s="14" t="str">
        <f>IFERROR(VLOOKUP(F124,'Menu &amp; Pricing'!$A$5:$I$54,5,FALSE),"")</f>
        <v/>
      </c>
      <c r="J124" s="8"/>
      <c r="K124" s="9" t="str">
        <f t="shared" si="9"/>
        <v/>
      </c>
      <c r="L124" s="8"/>
      <c r="M124" s="9" t="str">
        <f t="shared" si="10"/>
        <v/>
      </c>
      <c r="N124" s="14" t="str">
        <f>IFERROR(VLOOKUP(F124,'Menu &amp; Pricing'!$A$5:$I$54,6,FALSE),"")</f>
        <v/>
      </c>
      <c r="O124" s="9" t="str">
        <f t="shared" si="11"/>
        <v/>
      </c>
      <c r="P124" s="3"/>
      <c r="Q124" s="3"/>
      <c r="R124" s="3"/>
      <c r="S124" s="3"/>
      <c r="T124" s="3"/>
      <c r="U124" s="7">
        <f>IF(AND(A124&lt;&gt;"",Q124="Paid",R124="Completed",COUNTIFS($A$5:A124,A124,$B$5:B124,B124,$Q$5:Q124,"Paid",$R$5:R124,"Completed")=1),1,0)</f>
        <v>0</v>
      </c>
    </row>
    <row r="125" spans="1:21">
      <c r="A125" s="3"/>
      <c r="B125" s="4"/>
      <c r="C125" s="12"/>
      <c r="D125" s="3"/>
      <c r="E125" s="3"/>
      <c r="F125" s="3"/>
      <c r="G125" s="11" t="str">
        <f>IFERROR(VLOOKUP(F125,'Menu &amp; Pricing'!$A$5:$I$54,2,FALSE),"")</f>
        <v/>
      </c>
      <c r="H125" s="13"/>
      <c r="I125" s="14" t="str">
        <f>IFERROR(VLOOKUP(F125,'Menu &amp; Pricing'!$A$5:$I$54,5,FALSE),"")</f>
        <v/>
      </c>
      <c r="J125" s="8"/>
      <c r="K125" s="9" t="str">
        <f t="shared" si="9"/>
        <v/>
      </c>
      <c r="L125" s="8"/>
      <c r="M125" s="9" t="str">
        <f t="shared" si="10"/>
        <v/>
      </c>
      <c r="N125" s="14" t="str">
        <f>IFERROR(VLOOKUP(F125,'Menu &amp; Pricing'!$A$5:$I$54,6,FALSE),"")</f>
        <v/>
      </c>
      <c r="O125" s="9" t="str">
        <f t="shared" si="11"/>
        <v/>
      </c>
      <c r="P125" s="3"/>
      <c r="Q125" s="3"/>
      <c r="R125" s="3"/>
      <c r="S125" s="3"/>
      <c r="T125" s="3"/>
      <c r="U125" s="7">
        <f>IF(AND(A125&lt;&gt;"",Q125="Paid",R125="Completed",COUNTIFS($A$5:A125,A125,$B$5:B125,B125,$Q$5:Q125,"Paid",$R$5:R125,"Completed")=1),1,0)</f>
        <v>0</v>
      </c>
    </row>
    <row r="126" spans="1:21">
      <c r="A126" s="3"/>
      <c r="B126" s="4"/>
      <c r="C126" s="12"/>
      <c r="D126" s="3"/>
      <c r="E126" s="3"/>
      <c r="F126" s="3"/>
      <c r="G126" s="11" t="str">
        <f>IFERROR(VLOOKUP(F126,'Menu &amp; Pricing'!$A$5:$I$54,2,FALSE),"")</f>
        <v/>
      </c>
      <c r="H126" s="13"/>
      <c r="I126" s="14" t="str">
        <f>IFERROR(VLOOKUP(F126,'Menu &amp; Pricing'!$A$5:$I$54,5,FALSE),"")</f>
        <v/>
      </c>
      <c r="J126" s="8"/>
      <c r="K126" s="9" t="str">
        <f t="shared" si="9"/>
        <v/>
      </c>
      <c r="L126" s="8"/>
      <c r="M126" s="9" t="str">
        <f t="shared" si="10"/>
        <v/>
      </c>
      <c r="N126" s="14" t="str">
        <f>IFERROR(VLOOKUP(F126,'Menu &amp; Pricing'!$A$5:$I$54,6,FALSE),"")</f>
        <v/>
      </c>
      <c r="O126" s="9" t="str">
        <f t="shared" si="11"/>
        <v/>
      </c>
      <c r="P126" s="3"/>
      <c r="Q126" s="3"/>
      <c r="R126" s="3"/>
      <c r="S126" s="3"/>
      <c r="T126" s="3"/>
      <c r="U126" s="7">
        <f>IF(AND(A126&lt;&gt;"",Q126="Paid",R126="Completed",COUNTIFS($A$5:A126,A126,$B$5:B126,B126,$Q$5:Q126,"Paid",$R$5:R126,"Completed")=1),1,0)</f>
        <v>0</v>
      </c>
    </row>
    <row r="127" spans="1:21">
      <c r="A127" s="3"/>
      <c r="B127" s="4"/>
      <c r="C127" s="12"/>
      <c r="D127" s="3"/>
      <c r="E127" s="3"/>
      <c r="F127" s="3"/>
      <c r="G127" s="11" t="str">
        <f>IFERROR(VLOOKUP(F127,'Menu &amp; Pricing'!$A$5:$I$54,2,FALSE),"")</f>
        <v/>
      </c>
      <c r="H127" s="13"/>
      <c r="I127" s="14" t="str">
        <f>IFERROR(VLOOKUP(F127,'Menu &amp; Pricing'!$A$5:$I$54,5,FALSE),"")</f>
        <v/>
      </c>
      <c r="J127" s="8"/>
      <c r="K127" s="9" t="str">
        <f t="shared" si="9"/>
        <v/>
      </c>
      <c r="L127" s="8"/>
      <c r="M127" s="9" t="str">
        <f t="shared" si="10"/>
        <v/>
      </c>
      <c r="N127" s="14" t="str">
        <f>IFERROR(VLOOKUP(F127,'Menu &amp; Pricing'!$A$5:$I$54,6,FALSE),"")</f>
        <v/>
      </c>
      <c r="O127" s="9" t="str">
        <f t="shared" si="11"/>
        <v/>
      </c>
      <c r="P127" s="3"/>
      <c r="Q127" s="3"/>
      <c r="R127" s="3"/>
      <c r="S127" s="3"/>
      <c r="T127" s="3"/>
      <c r="U127" s="7">
        <f>IF(AND(A127&lt;&gt;"",Q127="Paid",R127="Completed",COUNTIFS($A$5:A127,A127,$B$5:B127,B127,$Q$5:Q127,"Paid",$R$5:R127,"Completed")=1),1,0)</f>
        <v>0</v>
      </c>
    </row>
    <row r="128" spans="1:21">
      <c r="A128" s="3"/>
      <c r="B128" s="4"/>
      <c r="C128" s="12"/>
      <c r="D128" s="3"/>
      <c r="E128" s="3"/>
      <c r="F128" s="3"/>
      <c r="G128" s="11" t="str">
        <f>IFERROR(VLOOKUP(F128,'Menu &amp; Pricing'!$A$5:$I$54,2,FALSE),"")</f>
        <v/>
      </c>
      <c r="H128" s="13"/>
      <c r="I128" s="14" t="str">
        <f>IFERROR(VLOOKUP(F128,'Menu &amp; Pricing'!$A$5:$I$54,5,FALSE),"")</f>
        <v/>
      </c>
      <c r="J128" s="8"/>
      <c r="K128" s="9" t="str">
        <f t="shared" si="9"/>
        <v/>
      </c>
      <c r="L128" s="8"/>
      <c r="M128" s="9" t="str">
        <f t="shared" si="10"/>
        <v/>
      </c>
      <c r="N128" s="14" t="str">
        <f>IFERROR(VLOOKUP(F128,'Menu &amp; Pricing'!$A$5:$I$54,6,FALSE),"")</f>
        <v/>
      </c>
      <c r="O128" s="9" t="str">
        <f t="shared" si="11"/>
        <v/>
      </c>
      <c r="P128" s="3"/>
      <c r="Q128" s="3"/>
      <c r="R128" s="3"/>
      <c r="S128" s="3"/>
      <c r="T128" s="3"/>
      <c r="U128" s="7">
        <f>IF(AND(A128&lt;&gt;"",Q128="Paid",R128="Completed",COUNTIFS($A$5:A128,A128,$B$5:B128,B128,$Q$5:Q128,"Paid",$R$5:R128,"Completed")=1),1,0)</f>
        <v>0</v>
      </c>
    </row>
    <row r="129" spans="1:21">
      <c r="A129" s="3"/>
      <c r="B129" s="4"/>
      <c r="C129" s="12"/>
      <c r="D129" s="3"/>
      <c r="E129" s="3"/>
      <c r="F129" s="3"/>
      <c r="G129" s="11" t="str">
        <f>IFERROR(VLOOKUP(F129,'Menu &amp; Pricing'!$A$5:$I$54,2,FALSE),"")</f>
        <v/>
      </c>
      <c r="H129" s="13"/>
      <c r="I129" s="14" t="str">
        <f>IFERROR(VLOOKUP(F129,'Menu &amp; Pricing'!$A$5:$I$54,5,FALSE),"")</f>
        <v/>
      </c>
      <c r="J129" s="8"/>
      <c r="K129" s="9" t="str">
        <f t="shared" si="9"/>
        <v/>
      </c>
      <c r="L129" s="8"/>
      <c r="M129" s="9" t="str">
        <f t="shared" si="10"/>
        <v/>
      </c>
      <c r="N129" s="14" t="str">
        <f>IFERROR(VLOOKUP(F129,'Menu &amp; Pricing'!$A$5:$I$54,6,FALSE),"")</f>
        <v/>
      </c>
      <c r="O129" s="9" t="str">
        <f t="shared" si="11"/>
        <v/>
      </c>
      <c r="P129" s="3"/>
      <c r="Q129" s="3"/>
      <c r="R129" s="3"/>
      <c r="S129" s="3"/>
      <c r="T129" s="3"/>
      <c r="U129" s="7">
        <f>IF(AND(A129&lt;&gt;"",Q129="Paid",R129="Completed",COUNTIFS($A$5:A129,A129,$B$5:B129,B129,$Q$5:Q129,"Paid",$R$5:R129,"Completed")=1),1,0)</f>
        <v>0</v>
      </c>
    </row>
    <row r="130" spans="1:21">
      <c r="A130" s="3"/>
      <c r="B130" s="4"/>
      <c r="C130" s="12"/>
      <c r="D130" s="3"/>
      <c r="E130" s="3"/>
      <c r="F130" s="3"/>
      <c r="G130" s="11" t="str">
        <f>IFERROR(VLOOKUP(F130,'Menu &amp; Pricing'!$A$5:$I$54,2,FALSE),"")</f>
        <v/>
      </c>
      <c r="H130" s="13"/>
      <c r="I130" s="14" t="str">
        <f>IFERROR(VLOOKUP(F130,'Menu &amp; Pricing'!$A$5:$I$54,5,FALSE),"")</f>
        <v/>
      </c>
      <c r="J130" s="8"/>
      <c r="K130" s="9" t="str">
        <f t="shared" si="9"/>
        <v/>
      </c>
      <c r="L130" s="8"/>
      <c r="M130" s="9" t="str">
        <f t="shared" si="10"/>
        <v/>
      </c>
      <c r="N130" s="14" t="str">
        <f>IFERROR(VLOOKUP(F130,'Menu &amp; Pricing'!$A$5:$I$54,6,FALSE),"")</f>
        <v/>
      </c>
      <c r="O130" s="9" t="str">
        <f t="shared" si="11"/>
        <v/>
      </c>
      <c r="P130" s="3"/>
      <c r="Q130" s="3"/>
      <c r="R130" s="3"/>
      <c r="S130" s="3"/>
      <c r="T130" s="3"/>
      <c r="U130" s="7">
        <f>IF(AND(A130&lt;&gt;"",Q130="Paid",R130="Completed",COUNTIFS($A$5:A130,A130,$B$5:B130,B130,$Q$5:Q130,"Paid",$R$5:R130,"Completed")=1),1,0)</f>
        <v>0</v>
      </c>
    </row>
    <row r="131" spans="1:21">
      <c r="A131" s="3"/>
      <c r="B131" s="4"/>
      <c r="C131" s="12"/>
      <c r="D131" s="3"/>
      <c r="E131" s="3"/>
      <c r="F131" s="3"/>
      <c r="G131" s="11" t="str">
        <f>IFERROR(VLOOKUP(F131,'Menu &amp; Pricing'!$A$5:$I$54,2,FALSE),"")</f>
        <v/>
      </c>
      <c r="H131" s="13"/>
      <c r="I131" s="14" t="str">
        <f>IFERROR(VLOOKUP(F131,'Menu &amp; Pricing'!$A$5:$I$54,5,FALSE),"")</f>
        <v/>
      </c>
      <c r="J131" s="8"/>
      <c r="K131" s="9" t="str">
        <f t="shared" si="9"/>
        <v/>
      </c>
      <c r="L131" s="8"/>
      <c r="M131" s="9" t="str">
        <f t="shared" si="10"/>
        <v/>
      </c>
      <c r="N131" s="14" t="str">
        <f>IFERROR(VLOOKUP(F131,'Menu &amp; Pricing'!$A$5:$I$54,6,FALSE),"")</f>
        <v/>
      </c>
      <c r="O131" s="9" t="str">
        <f t="shared" si="11"/>
        <v/>
      </c>
      <c r="P131" s="3"/>
      <c r="Q131" s="3"/>
      <c r="R131" s="3"/>
      <c r="S131" s="3"/>
      <c r="T131" s="3"/>
      <c r="U131" s="7">
        <f>IF(AND(A131&lt;&gt;"",Q131="Paid",R131="Completed",COUNTIFS($A$5:A131,A131,$B$5:B131,B131,$Q$5:Q131,"Paid",$R$5:R131,"Completed")=1),1,0)</f>
        <v>0</v>
      </c>
    </row>
    <row r="132" spans="1:21">
      <c r="A132" s="3"/>
      <c r="B132" s="4"/>
      <c r="C132" s="12"/>
      <c r="D132" s="3"/>
      <c r="E132" s="3"/>
      <c r="F132" s="3"/>
      <c r="G132" s="11" t="str">
        <f>IFERROR(VLOOKUP(F132,'Menu &amp; Pricing'!$A$5:$I$54,2,FALSE),"")</f>
        <v/>
      </c>
      <c r="H132" s="13"/>
      <c r="I132" s="14" t="str">
        <f>IFERROR(VLOOKUP(F132,'Menu &amp; Pricing'!$A$5:$I$54,5,FALSE),"")</f>
        <v/>
      </c>
      <c r="J132" s="8"/>
      <c r="K132" s="9" t="str">
        <f t="shared" si="9"/>
        <v/>
      </c>
      <c r="L132" s="8"/>
      <c r="M132" s="9" t="str">
        <f t="shared" si="10"/>
        <v/>
      </c>
      <c r="N132" s="14" t="str">
        <f>IFERROR(VLOOKUP(F132,'Menu &amp; Pricing'!$A$5:$I$54,6,FALSE),"")</f>
        <v/>
      </c>
      <c r="O132" s="9" t="str">
        <f t="shared" si="11"/>
        <v/>
      </c>
      <c r="P132" s="3"/>
      <c r="Q132" s="3"/>
      <c r="R132" s="3"/>
      <c r="S132" s="3"/>
      <c r="T132" s="3"/>
      <c r="U132" s="7">
        <f>IF(AND(A132&lt;&gt;"",Q132="Paid",R132="Completed",COUNTIFS($A$5:A132,A132,$B$5:B132,B132,$Q$5:Q132,"Paid",$R$5:R132,"Completed")=1),1,0)</f>
        <v>0</v>
      </c>
    </row>
    <row r="133" spans="1:21">
      <c r="A133" s="3"/>
      <c r="B133" s="4"/>
      <c r="C133" s="12"/>
      <c r="D133" s="3"/>
      <c r="E133" s="3"/>
      <c r="F133" s="3"/>
      <c r="G133" s="11" t="str">
        <f>IFERROR(VLOOKUP(F133,'Menu &amp; Pricing'!$A$5:$I$54,2,FALSE),"")</f>
        <v/>
      </c>
      <c r="H133" s="13"/>
      <c r="I133" s="14" t="str">
        <f>IFERROR(VLOOKUP(F133,'Menu &amp; Pricing'!$A$5:$I$54,5,FALSE),"")</f>
        <v/>
      </c>
      <c r="J133" s="8"/>
      <c r="K133" s="9" t="str">
        <f t="shared" ref="K133:K164" si="12">IF(OR(H133="",I133=""),"",H133*I133+IF(J133="",0,J133))</f>
        <v/>
      </c>
      <c r="L133" s="8"/>
      <c r="M133" s="9" t="str">
        <f t="shared" ref="M133:M164" si="13">IF(K133="","",MAX(0,K133-IF(L133="",0,L133)))</f>
        <v/>
      </c>
      <c r="N133" s="14" t="str">
        <f>IFERROR(VLOOKUP(F133,'Menu &amp; Pricing'!$A$5:$I$54,6,FALSE),"")</f>
        <v/>
      </c>
      <c r="O133" s="9" t="str">
        <f t="shared" ref="O133:O164" si="14">IF(OR(H133="",N133=""),"",H133*N133)</f>
        <v/>
      </c>
      <c r="P133" s="3"/>
      <c r="Q133" s="3"/>
      <c r="R133" s="3"/>
      <c r="S133" s="3"/>
      <c r="T133" s="3"/>
      <c r="U133" s="7">
        <f>IF(AND(A133&lt;&gt;"",Q133="Paid",R133="Completed",COUNTIFS($A$5:A133,A133,$B$5:B133,B133,$Q$5:Q133,"Paid",$R$5:R133,"Completed")=1),1,0)</f>
        <v>0</v>
      </c>
    </row>
    <row r="134" spans="1:21">
      <c r="A134" s="3"/>
      <c r="B134" s="4"/>
      <c r="C134" s="12"/>
      <c r="D134" s="3"/>
      <c r="E134" s="3"/>
      <c r="F134" s="3"/>
      <c r="G134" s="11" t="str">
        <f>IFERROR(VLOOKUP(F134,'Menu &amp; Pricing'!$A$5:$I$54,2,FALSE),"")</f>
        <v/>
      </c>
      <c r="H134" s="13"/>
      <c r="I134" s="14" t="str">
        <f>IFERROR(VLOOKUP(F134,'Menu &amp; Pricing'!$A$5:$I$54,5,FALSE),"")</f>
        <v/>
      </c>
      <c r="J134" s="8"/>
      <c r="K134" s="9" t="str">
        <f t="shared" si="12"/>
        <v/>
      </c>
      <c r="L134" s="8"/>
      <c r="M134" s="9" t="str">
        <f t="shared" si="13"/>
        <v/>
      </c>
      <c r="N134" s="14" t="str">
        <f>IFERROR(VLOOKUP(F134,'Menu &amp; Pricing'!$A$5:$I$54,6,FALSE),"")</f>
        <v/>
      </c>
      <c r="O134" s="9" t="str">
        <f t="shared" si="14"/>
        <v/>
      </c>
      <c r="P134" s="3"/>
      <c r="Q134" s="3"/>
      <c r="R134" s="3"/>
      <c r="S134" s="3"/>
      <c r="T134" s="3"/>
      <c r="U134" s="7">
        <f>IF(AND(A134&lt;&gt;"",Q134="Paid",R134="Completed",COUNTIFS($A$5:A134,A134,$B$5:B134,B134,$Q$5:Q134,"Paid",$R$5:R134,"Completed")=1),1,0)</f>
        <v>0</v>
      </c>
    </row>
    <row r="135" spans="1:21">
      <c r="A135" s="3"/>
      <c r="B135" s="4"/>
      <c r="C135" s="12"/>
      <c r="D135" s="3"/>
      <c r="E135" s="3"/>
      <c r="F135" s="3"/>
      <c r="G135" s="11" t="str">
        <f>IFERROR(VLOOKUP(F135,'Menu &amp; Pricing'!$A$5:$I$54,2,FALSE),"")</f>
        <v/>
      </c>
      <c r="H135" s="13"/>
      <c r="I135" s="14" t="str">
        <f>IFERROR(VLOOKUP(F135,'Menu &amp; Pricing'!$A$5:$I$54,5,FALSE),"")</f>
        <v/>
      </c>
      <c r="J135" s="8"/>
      <c r="K135" s="9" t="str">
        <f t="shared" si="12"/>
        <v/>
      </c>
      <c r="L135" s="8"/>
      <c r="M135" s="9" t="str">
        <f t="shared" si="13"/>
        <v/>
      </c>
      <c r="N135" s="14" t="str">
        <f>IFERROR(VLOOKUP(F135,'Menu &amp; Pricing'!$A$5:$I$54,6,FALSE),"")</f>
        <v/>
      </c>
      <c r="O135" s="9" t="str">
        <f t="shared" si="14"/>
        <v/>
      </c>
      <c r="P135" s="3"/>
      <c r="Q135" s="3"/>
      <c r="R135" s="3"/>
      <c r="S135" s="3"/>
      <c r="T135" s="3"/>
      <c r="U135" s="7">
        <f>IF(AND(A135&lt;&gt;"",Q135="Paid",R135="Completed",COUNTIFS($A$5:A135,A135,$B$5:B135,B135,$Q$5:Q135,"Paid",$R$5:R135,"Completed")=1),1,0)</f>
        <v>0</v>
      </c>
    </row>
    <row r="136" spans="1:21">
      <c r="A136" s="3"/>
      <c r="B136" s="4"/>
      <c r="C136" s="12"/>
      <c r="D136" s="3"/>
      <c r="E136" s="3"/>
      <c r="F136" s="3"/>
      <c r="G136" s="11" t="str">
        <f>IFERROR(VLOOKUP(F136,'Menu &amp; Pricing'!$A$5:$I$54,2,FALSE),"")</f>
        <v/>
      </c>
      <c r="H136" s="13"/>
      <c r="I136" s="14" t="str">
        <f>IFERROR(VLOOKUP(F136,'Menu &amp; Pricing'!$A$5:$I$54,5,FALSE),"")</f>
        <v/>
      </c>
      <c r="J136" s="8"/>
      <c r="K136" s="9" t="str">
        <f t="shared" si="12"/>
        <v/>
      </c>
      <c r="L136" s="8"/>
      <c r="M136" s="9" t="str">
        <f t="shared" si="13"/>
        <v/>
      </c>
      <c r="N136" s="14" t="str">
        <f>IFERROR(VLOOKUP(F136,'Menu &amp; Pricing'!$A$5:$I$54,6,FALSE),"")</f>
        <v/>
      </c>
      <c r="O136" s="9" t="str">
        <f t="shared" si="14"/>
        <v/>
      </c>
      <c r="P136" s="3"/>
      <c r="Q136" s="3"/>
      <c r="R136" s="3"/>
      <c r="S136" s="3"/>
      <c r="T136" s="3"/>
      <c r="U136" s="7">
        <f>IF(AND(A136&lt;&gt;"",Q136="Paid",R136="Completed",COUNTIFS($A$5:A136,A136,$B$5:B136,B136,$Q$5:Q136,"Paid",$R$5:R136,"Completed")=1),1,0)</f>
        <v>0</v>
      </c>
    </row>
    <row r="137" spans="1:21">
      <c r="A137" s="3"/>
      <c r="B137" s="4"/>
      <c r="C137" s="12"/>
      <c r="D137" s="3"/>
      <c r="E137" s="3"/>
      <c r="F137" s="3"/>
      <c r="G137" s="11" t="str">
        <f>IFERROR(VLOOKUP(F137,'Menu &amp; Pricing'!$A$5:$I$54,2,FALSE),"")</f>
        <v/>
      </c>
      <c r="H137" s="13"/>
      <c r="I137" s="14" t="str">
        <f>IFERROR(VLOOKUP(F137,'Menu &amp; Pricing'!$A$5:$I$54,5,FALSE),"")</f>
        <v/>
      </c>
      <c r="J137" s="8"/>
      <c r="K137" s="9" t="str">
        <f t="shared" si="12"/>
        <v/>
      </c>
      <c r="L137" s="8"/>
      <c r="M137" s="9" t="str">
        <f t="shared" si="13"/>
        <v/>
      </c>
      <c r="N137" s="14" t="str">
        <f>IFERROR(VLOOKUP(F137,'Menu &amp; Pricing'!$A$5:$I$54,6,FALSE),"")</f>
        <v/>
      </c>
      <c r="O137" s="9" t="str">
        <f t="shared" si="14"/>
        <v/>
      </c>
      <c r="P137" s="3"/>
      <c r="Q137" s="3"/>
      <c r="R137" s="3"/>
      <c r="S137" s="3"/>
      <c r="T137" s="3"/>
      <c r="U137" s="7">
        <f>IF(AND(A137&lt;&gt;"",Q137="Paid",R137="Completed",COUNTIFS($A$5:A137,A137,$B$5:B137,B137,$Q$5:Q137,"Paid",$R$5:R137,"Completed")=1),1,0)</f>
        <v>0</v>
      </c>
    </row>
    <row r="138" spans="1:21">
      <c r="A138" s="3"/>
      <c r="B138" s="4"/>
      <c r="C138" s="12"/>
      <c r="D138" s="3"/>
      <c r="E138" s="3"/>
      <c r="F138" s="3"/>
      <c r="G138" s="11" t="str">
        <f>IFERROR(VLOOKUP(F138,'Menu &amp; Pricing'!$A$5:$I$54,2,FALSE),"")</f>
        <v/>
      </c>
      <c r="H138" s="13"/>
      <c r="I138" s="14" t="str">
        <f>IFERROR(VLOOKUP(F138,'Menu &amp; Pricing'!$A$5:$I$54,5,FALSE),"")</f>
        <v/>
      </c>
      <c r="J138" s="8"/>
      <c r="K138" s="9" t="str">
        <f t="shared" si="12"/>
        <v/>
      </c>
      <c r="L138" s="8"/>
      <c r="M138" s="9" t="str">
        <f t="shared" si="13"/>
        <v/>
      </c>
      <c r="N138" s="14" t="str">
        <f>IFERROR(VLOOKUP(F138,'Menu &amp; Pricing'!$A$5:$I$54,6,FALSE),"")</f>
        <v/>
      </c>
      <c r="O138" s="9" t="str">
        <f t="shared" si="14"/>
        <v/>
      </c>
      <c r="P138" s="3"/>
      <c r="Q138" s="3"/>
      <c r="R138" s="3"/>
      <c r="S138" s="3"/>
      <c r="T138" s="3"/>
      <c r="U138" s="7">
        <f>IF(AND(A138&lt;&gt;"",Q138="Paid",R138="Completed",COUNTIFS($A$5:A138,A138,$B$5:B138,B138,$Q$5:Q138,"Paid",$R$5:R138,"Completed")=1),1,0)</f>
        <v>0</v>
      </c>
    </row>
    <row r="139" spans="1:21">
      <c r="A139" s="3"/>
      <c r="B139" s="4"/>
      <c r="C139" s="12"/>
      <c r="D139" s="3"/>
      <c r="E139" s="3"/>
      <c r="F139" s="3"/>
      <c r="G139" s="11" t="str">
        <f>IFERROR(VLOOKUP(F139,'Menu &amp; Pricing'!$A$5:$I$54,2,FALSE),"")</f>
        <v/>
      </c>
      <c r="H139" s="13"/>
      <c r="I139" s="14" t="str">
        <f>IFERROR(VLOOKUP(F139,'Menu &amp; Pricing'!$A$5:$I$54,5,FALSE),"")</f>
        <v/>
      </c>
      <c r="J139" s="8"/>
      <c r="K139" s="9" t="str">
        <f t="shared" si="12"/>
        <v/>
      </c>
      <c r="L139" s="8"/>
      <c r="M139" s="9" t="str">
        <f t="shared" si="13"/>
        <v/>
      </c>
      <c r="N139" s="14" t="str">
        <f>IFERROR(VLOOKUP(F139,'Menu &amp; Pricing'!$A$5:$I$54,6,FALSE),"")</f>
        <v/>
      </c>
      <c r="O139" s="9" t="str">
        <f t="shared" si="14"/>
        <v/>
      </c>
      <c r="P139" s="3"/>
      <c r="Q139" s="3"/>
      <c r="R139" s="3"/>
      <c r="S139" s="3"/>
      <c r="T139" s="3"/>
      <c r="U139" s="7">
        <f>IF(AND(A139&lt;&gt;"",Q139="Paid",R139="Completed",COUNTIFS($A$5:A139,A139,$B$5:B139,B139,$Q$5:Q139,"Paid",$R$5:R139,"Completed")=1),1,0)</f>
        <v>0</v>
      </c>
    </row>
    <row r="140" spans="1:21">
      <c r="A140" s="3"/>
      <c r="B140" s="4"/>
      <c r="C140" s="12"/>
      <c r="D140" s="3"/>
      <c r="E140" s="3"/>
      <c r="F140" s="3"/>
      <c r="G140" s="11" t="str">
        <f>IFERROR(VLOOKUP(F140,'Menu &amp; Pricing'!$A$5:$I$54,2,FALSE),"")</f>
        <v/>
      </c>
      <c r="H140" s="13"/>
      <c r="I140" s="14" t="str">
        <f>IFERROR(VLOOKUP(F140,'Menu &amp; Pricing'!$A$5:$I$54,5,FALSE),"")</f>
        <v/>
      </c>
      <c r="J140" s="8"/>
      <c r="K140" s="9" t="str">
        <f t="shared" si="12"/>
        <v/>
      </c>
      <c r="L140" s="8"/>
      <c r="M140" s="9" t="str">
        <f t="shared" si="13"/>
        <v/>
      </c>
      <c r="N140" s="14" t="str">
        <f>IFERROR(VLOOKUP(F140,'Menu &amp; Pricing'!$A$5:$I$54,6,FALSE),"")</f>
        <v/>
      </c>
      <c r="O140" s="9" t="str">
        <f t="shared" si="14"/>
        <v/>
      </c>
      <c r="P140" s="3"/>
      <c r="Q140" s="3"/>
      <c r="R140" s="3"/>
      <c r="S140" s="3"/>
      <c r="T140" s="3"/>
      <c r="U140" s="7">
        <f>IF(AND(A140&lt;&gt;"",Q140="Paid",R140="Completed",COUNTIFS($A$5:A140,A140,$B$5:B140,B140,$Q$5:Q140,"Paid",$R$5:R140,"Completed")=1),1,0)</f>
        <v>0</v>
      </c>
    </row>
    <row r="141" spans="1:21">
      <c r="A141" s="3"/>
      <c r="B141" s="4"/>
      <c r="C141" s="12"/>
      <c r="D141" s="3"/>
      <c r="E141" s="3"/>
      <c r="F141" s="3"/>
      <c r="G141" s="11" t="str">
        <f>IFERROR(VLOOKUP(F141,'Menu &amp; Pricing'!$A$5:$I$54,2,FALSE),"")</f>
        <v/>
      </c>
      <c r="H141" s="13"/>
      <c r="I141" s="14" t="str">
        <f>IFERROR(VLOOKUP(F141,'Menu &amp; Pricing'!$A$5:$I$54,5,FALSE),"")</f>
        <v/>
      </c>
      <c r="J141" s="8"/>
      <c r="K141" s="9" t="str">
        <f t="shared" si="12"/>
        <v/>
      </c>
      <c r="L141" s="8"/>
      <c r="M141" s="9" t="str">
        <f t="shared" si="13"/>
        <v/>
      </c>
      <c r="N141" s="14" t="str">
        <f>IFERROR(VLOOKUP(F141,'Menu &amp; Pricing'!$A$5:$I$54,6,FALSE),"")</f>
        <v/>
      </c>
      <c r="O141" s="9" t="str">
        <f t="shared" si="14"/>
        <v/>
      </c>
      <c r="P141" s="3"/>
      <c r="Q141" s="3"/>
      <c r="R141" s="3"/>
      <c r="S141" s="3"/>
      <c r="T141" s="3"/>
      <c r="U141" s="7">
        <f>IF(AND(A141&lt;&gt;"",Q141="Paid",R141="Completed",COUNTIFS($A$5:A141,A141,$B$5:B141,B141,$Q$5:Q141,"Paid",$R$5:R141,"Completed")=1),1,0)</f>
        <v>0</v>
      </c>
    </row>
    <row r="142" spans="1:21">
      <c r="A142" s="3"/>
      <c r="B142" s="4"/>
      <c r="C142" s="12"/>
      <c r="D142" s="3"/>
      <c r="E142" s="3"/>
      <c r="F142" s="3"/>
      <c r="G142" s="11" t="str">
        <f>IFERROR(VLOOKUP(F142,'Menu &amp; Pricing'!$A$5:$I$54,2,FALSE),"")</f>
        <v/>
      </c>
      <c r="H142" s="13"/>
      <c r="I142" s="14" t="str">
        <f>IFERROR(VLOOKUP(F142,'Menu &amp; Pricing'!$A$5:$I$54,5,FALSE),"")</f>
        <v/>
      </c>
      <c r="J142" s="8"/>
      <c r="K142" s="9" t="str">
        <f t="shared" si="12"/>
        <v/>
      </c>
      <c r="L142" s="8"/>
      <c r="M142" s="9" t="str">
        <f t="shared" si="13"/>
        <v/>
      </c>
      <c r="N142" s="14" t="str">
        <f>IFERROR(VLOOKUP(F142,'Menu &amp; Pricing'!$A$5:$I$54,6,FALSE),"")</f>
        <v/>
      </c>
      <c r="O142" s="9" t="str">
        <f t="shared" si="14"/>
        <v/>
      </c>
      <c r="P142" s="3"/>
      <c r="Q142" s="3"/>
      <c r="R142" s="3"/>
      <c r="S142" s="3"/>
      <c r="T142" s="3"/>
      <c r="U142" s="7">
        <f>IF(AND(A142&lt;&gt;"",Q142="Paid",R142="Completed",COUNTIFS($A$5:A142,A142,$B$5:B142,B142,$Q$5:Q142,"Paid",$R$5:R142,"Completed")=1),1,0)</f>
        <v>0</v>
      </c>
    </row>
    <row r="143" spans="1:21">
      <c r="A143" s="3"/>
      <c r="B143" s="4"/>
      <c r="C143" s="12"/>
      <c r="D143" s="3"/>
      <c r="E143" s="3"/>
      <c r="F143" s="3"/>
      <c r="G143" s="11" t="str">
        <f>IFERROR(VLOOKUP(F143,'Menu &amp; Pricing'!$A$5:$I$54,2,FALSE),"")</f>
        <v/>
      </c>
      <c r="H143" s="13"/>
      <c r="I143" s="14" t="str">
        <f>IFERROR(VLOOKUP(F143,'Menu &amp; Pricing'!$A$5:$I$54,5,FALSE),"")</f>
        <v/>
      </c>
      <c r="J143" s="8"/>
      <c r="K143" s="9" t="str">
        <f t="shared" si="12"/>
        <v/>
      </c>
      <c r="L143" s="8"/>
      <c r="M143" s="9" t="str">
        <f t="shared" si="13"/>
        <v/>
      </c>
      <c r="N143" s="14" t="str">
        <f>IFERROR(VLOOKUP(F143,'Menu &amp; Pricing'!$A$5:$I$54,6,FALSE),"")</f>
        <v/>
      </c>
      <c r="O143" s="9" t="str">
        <f t="shared" si="14"/>
        <v/>
      </c>
      <c r="P143" s="3"/>
      <c r="Q143" s="3"/>
      <c r="R143" s="3"/>
      <c r="S143" s="3"/>
      <c r="T143" s="3"/>
      <c r="U143" s="7">
        <f>IF(AND(A143&lt;&gt;"",Q143="Paid",R143="Completed",COUNTIFS($A$5:A143,A143,$B$5:B143,B143,$Q$5:Q143,"Paid",$R$5:R143,"Completed")=1),1,0)</f>
        <v>0</v>
      </c>
    </row>
    <row r="144" spans="1:21">
      <c r="A144" s="3"/>
      <c r="B144" s="4"/>
      <c r="C144" s="12"/>
      <c r="D144" s="3"/>
      <c r="E144" s="3"/>
      <c r="F144" s="3"/>
      <c r="G144" s="11" t="str">
        <f>IFERROR(VLOOKUP(F144,'Menu &amp; Pricing'!$A$5:$I$54,2,FALSE),"")</f>
        <v/>
      </c>
      <c r="H144" s="13"/>
      <c r="I144" s="14" t="str">
        <f>IFERROR(VLOOKUP(F144,'Menu &amp; Pricing'!$A$5:$I$54,5,FALSE),"")</f>
        <v/>
      </c>
      <c r="J144" s="8"/>
      <c r="K144" s="9" t="str">
        <f t="shared" si="12"/>
        <v/>
      </c>
      <c r="L144" s="8"/>
      <c r="M144" s="9" t="str">
        <f t="shared" si="13"/>
        <v/>
      </c>
      <c r="N144" s="14" t="str">
        <f>IFERROR(VLOOKUP(F144,'Menu &amp; Pricing'!$A$5:$I$54,6,FALSE),"")</f>
        <v/>
      </c>
      <c r="O144" s="9" t="str">
        <f t="shared" si="14"/>
        <v/>
      </c>
      <c r="P144" s="3"/>
      <c r="Q144" s="3"/>
      <c r="R144" s="3"/>
      <c r="S144" s="3"/>
      <c r="T144" s="3"/>
      <c r="U144" s="7">
        <f>IF(AND(A144&lt;&gt;"",Q144="Paid",R144="Completed",COUNTIFS($A$5:A144,A144,$B$5:B144,B144,$Q$5:Q144,"Paid",$R$5:R144,"Completed")=1),1,0)</f>
        <v>0</v>
      </c>
    </row>
    <row r="145" spans="1:21">
      <c r="A145" s="3"/>
      <c r="B145" s="4"/>
      <c r="C145" s="12"/>
      <c r="D145" s="3"/>
      <c r="E145" s="3"/>
      <c r="F145" s="3"/>
      <c r="G145" s="11" t="str">
        <f>IFERROR(VLOOKUP(F145,'Menu &amp; Pricing'!$A$5:$I$54,2,FALSE),"")</f>
        <v/>
      </c>
      <c r="H145" s="13"/>
      <c r="I145" s="14" t="str">
        <f>IFERROR(VLOOKUP(F145,'Menu &amp; Pricing'!$A$5:$I$54,5,FALSE),"")</f>
        <v/>
      </c>
      <c r="J145" s="8"/>
      <c r="K145" s="9" t="str">
        <f t="shared" si="12"/>
        <v/>
      </c>
      <c r="L145" s="8"/>
      <c r="M145" s="9" t="str">
        <f t="shared" si="13"/>
        <v/>
      </c>
      <c r="N145" s="14" t="str">
        <f>IFERROR(VLOOKUP(F145,'Menu &amp; Pricing'!$A$5:$I$54,6,FALSE),"")</f>
        <v/>
      </c>
      <c r="O145" s="9" t="str">
        <f t="shared" si="14"/>
        <v/>
      </c>
      <c r="P145" s="3"/>
      <c r="Q145" s="3"/>
      <c r="R145" s="3"/>
      <c r="S145" s="3"/>
      <c r="T145" s="3"/>
      <c r="U145" s="7">
        <f>IF(AND(A145&lt;&gt;"",Q145="Paid",R145="Completed",COUNTIFS($A$5:A145,A145,$B$5:B145,B145,$Q$5:Q145,"Paid",$R$5:R145,"Completed")=1),1,0)</f>
        <v>0</v>
      </c>
    </row>
    <row r="146" spans="1:21">
      <c r="A146" s="3"/>
      <c r="B146" s="4"/>
      <c r="C146" s="12"/>
      <c r="D146" s="3"/>
      <c r="E146" s="3"/>
      <c r="F146" s="3"/>
      <c r="G146" s="11" t="str">
        <f>IFERROR(VLOOKUP(F146,'Menu &amp; Pricing'!$A$5:$I$54,2,FALSE),"")</f>
        <v/>
      </c>
      <c r="H146" s="13"/>
      <c r="I146" s="14" t="str">
        <f>IFERROR(VLOOKUP(F146,'Menu &amp; Pricing'!$A$5:$I$54,5,FALSE),"")</f>
        <v/>
      </c>
      <c r="J146" s="8"/>
      <c r="K146" s="9" t="str">
        <f t="shared" si="12"/>
        <v/>
      </c>
      <c r="L146" s="8"/>
      <c r="M146" s="9" t="str">
        <f t="shared" si="13"/>
        <v/>
      </c>
      <c r="N146" s="14" t="str">
        <f>IFERROR(VLOOKUP(F146,'Menu &amp; Pricing'!$A$5:$I$54,6,FALSE),"")</f>
        <v/>
      </c>
      <c r="O146" s="9" t="str">
        <f t="shared" si="14"/>
        <v/>
      </c>
      <c r="P146" s="3"/>
      <c r="Q146" s="3"/>
      <c r="R146" s="3"/>
      <c r="S146" s="3"/>
      <c r="T146" s="3"/>
      <c r="U146" s="7">
        <f>IF(AND(A146&lt;&gt;"",Q146="Paid",R146="Completed",COUNTIFS($A$5:A146,A146,$B$5:B146,B146,$Q$5:Q146,"Paid",$R$5:R146,"Completed")=1),1,0)</f>
        <v>0</v>
      </c>
    </row>
    <row r="147" spans="1:21">
      <c r="A147" s="3"/>
      <c r="B147" s="4"/>
      <c r="C147" s="12"/>
      <c r="D147" s="3"/>
      <c r="E147" s="3"/>
      <c r="F147" s="3"/>
      <c r="G147" s="11" t="str">
        <f>IFERROR(VLOOKUP(F147,'Menu &amp; Pricing'!$A$5:$I$54,2,FALSE),"")</f>
        <v/>
      </c>
      <c r="H147" s="13"/>
      <c r="I147" s="14" t="str">
        <f>IFERROR(VLOOKUP(F147,'Menu &amp; Pricing'!$A$5:$I$54,5,FALSE),"")</f>
        <v/>
      </c>
      <c r="J147" s="8"/>
      <c r="K147" s="9" t="str">
        <f t="shared" si="12"/>
        <v/>
      </c>
      <c r="L147" s="8"/>
      <c r="M147" s="9" t="str">
        <f t="shared" si="13"/>
        <v/>
      </c>
      <c r="N147" s="14" t="str">
        <f>IFERROR(VLOOKUP(F147,'Menu &amp; Pricing'!$A$5:$I$54,6,FALSE),"")</f>
        <v/>
      </c>
      <c r="O147" s="9" t="str">
        <f t="shared" si="14"/>
        <v/>
      </c>
      <c r="P147" s="3"/>
      <c r="Q147" s="3"/>
      <c r="R147" s="3"/>
      <c r="S147" s="3"/>
      <c r="T147" s="3"/>
      <c r="U147" s="7">
        <f>IF(AND(A147&lt;&gt;"",Q147="Paid",R147="Completed",COUNTIFS($A$5:A147,A147,$B$5:B147,B147,$Q$5:Q147,"Paid",$R$5:R147,"Completed")=1),1,0)</f>
        <v>0</v>
      </c>
    </row>
    <row r="148" spans="1:21">
      <c r="A148" s="3"/>
      <c r="B148" s="4"/>
      <c r="C148" s="12"/>
      <c r="D148" s="3"/>
      <c r="E148" s="3"/>
      <c r="F148" s="3"/>
      <c r="G148" s="11" t="str">
        <f>IFERROR(VLOOKUP(F148,'Menu &amp; Pricing'!$A$5:$I$54,2,FALSE),"")</f>
        <v/>
      </c>
      <c r="H148" s="13"/>
      <c r="I148" s="14" t="str">
        <f>IFERROR(VLOOKUP(F148,'Menu &amp; Pricing'!$A$5:$I$54,5,FALSE),"")</f>
        <v/>
      </c>
      <c r="J148" s="8"/>
      <c r="K148" s="9" t="str">
        <f t="shared" si="12"/>
        <v/>
      </c>
      <c r="L148" s="8"/>
      <c r="M148" s="9" t="str">
        <f t="shared" si="13"/>
        <v/>
      </c>
      <c r="N148" s="14" t="str">
        <f>IFERROR(VLOOKUP(F148,'Menu &amp; Pricing'!$A$5:$I$54,6,FALSE),"")</f>
        <v/>
      </c>
      <c r="O148" s="9" t="str">
        <f t="shared" si="14"/>
        <v/>
      </c>
      <c r="P148" s="3"/>
      <c r="Q148" s="3"/>
      <c r="R148" s="3"/>
      <c r="S148" s="3"/>
      <c r="T148" s="3"/>
      <c r="U148" s="7">
        <f>IF(AND(A148&lt;&gt;"",Q148="Paid",R148="Completed",COUNTIFS($A$5:A148,A148,$B$5:B148,B148,$Q$5:Q148,"Paid",$R$5:R148,"Completed")=1),1,0)</f>
        <v>0</v>
      </c>
    </row>
    <row r="149" spans="1:21">
      <c r="A149" s="3"/>
      <c r="B149" s="4"/>
      <c r="C149" s="12"/>
      <c r="D149" s="3"/>
      <c r="E149" s="3"/>
      <c r="F149" s="3"/>
      <c r="G149" s="11" t="str">
        <f>IFERROR(VLOOKUP(F149,'Menu &amp; Pricing'!$A$5:$I$54,2,FALSE),"")</f>
        <v/>
      </c>
      <c r="H149" s="13"/>
      <c r="I149" s="14" t="str">
        <f>IFERROR(VLOOKUP(F149,'Menu &amp; Pricing'!$A$5:$I$54,5,FALSE),"")</f>
        <v/>
      </c>
      <c r="J149" s="8"/>
      <c r="K149" s="9" t="str">
        <f t="shared" si="12"/>
        <v/>
      </c>
      <c r="L149" s="8"/>
      <c r="M149" s="9" t="str">
        <f t="shared" si="13"/>
        <v/>
      </c>
      <c r="N149" s="14" t="str">
        <f>IFERROR(VLOOKUP(F149,'Menu &amp; Pricing'!$A$5:$I$54,6,FALSE),"")</f>
        <v/>
      </c>
      <c r="O149" s="9" t="str">
        <f t="shared" si="14"/>
        <v/>
      </c>
      <c r="P149" s="3"/>
      <c r="Q149" s="3"/>
      <c r="R149" s="3"/>
      <c r="S149" s="3"/>
      <c r="T149" s="3"/>
      <c r="U149" s="7">
        <f>IF(AND(A149&lt;&gt;"",Q149="Paid",R149="Completed",COUNTIFS($A$5:A149,A149,$B$5:B149,B149,$Q$5:Q149,"Paid",$R$5:R149,"Completed")=1),1,0)</f>
        <v>0</v>
      </c>
    </row>
    <row r="150" spans="1:21">
      <c r="A150" s="3"/>
      <c r="B150" s="4"/>
      <c r="C150" s="12"/>
      <c r="D150" s="3"/>
      <c r="E150" s="3"/>
      <c r="F150" s="3"/>
      <c r="G150" s="11" t="str">
        <f>IFERROR(VLOOKUP(F150,'Menu &amp; Pricing'!$A$5:$I$54,2,FALSE),"")</f>
        <v/>
      </c>
      <c r="H150" s="13"/>
      <c r="I150" s="14" t="str">
        <f>IFERROR(VLOOKUP(F150,'Menu &amp; Pricing'!$A$5:$I$54,5,FALSE),"")</f>
        <v/>
      </c>
      <c r="J150" s="8"/>
      <c r="K150" s="9" t="str">
        <f t="shared" si="12"/>
        <v/>
      </c>
      <c r="L150" s="8"/>
      <c r="M150" s="9" t="str">
        <f t="shared" si="13"/>
        <v/>
      </c>
      <c r="N150" s="14" t="str">
        <f>IFERROR(VLOOKUP(F150,'Menu &amp; Pricing'!$A$5:$I$54,6,FALSE),"")</f>
        <v/>
      </c>
      <c r="O150" s="9" t="str">
        <f t="shared" si="14"/>
        <v/>
      </c>
      <c r="P150" s="3"/>
      <c r="Q150" s="3"/>
      <c r="R150" s="3"/>
      <c r="S150" s="3"/>
      <c r="T150" s="3"/>
      <c r="U150" s="7">
        <f>IF(AND(A150&lt;&gt;"",Q150="Paid",R150="Completed",COUNTIFS($A$5:A150,A150,$B$5:B150,B150,$Q$5:Q150,"Paid",$R$5:R150,"Completed")=1),1,0)</f>
        <v>0</v>
      </c>
    </row>
    <row r="151" spans="1:21">
      <c r="A151" s="3"/>
      <c r="B151" s="4"/>
      <c r="C151" s="12"/>
      <c r="D151" s="3"/>
      <c r="E151" s="3"/>
      <c r="F151" s="3"/>
      <c r="G151" s="11" t="str">
        <f>IFERROR(VLOOKUP(F151,'Menu &amp; Pricing'!$A$5:$I$54,2,FALSE),"")</f>
        <v/>
      </c>
      <c r="H151" s="13"/>
      <c r="I151" s="14" t="str">
        <f>IFERROR(VLOOKUP(F151,'Menu &amp; Pricing'!$A$5:$I$54,5,FALSE),"")</f>
        <v/>
      </c>
      <c r="J151" s="8"/>
      <c r="K151" s="9" t="str">
        <f t="shared" si="12"/>
        <v/>
      </c>
      <c r="L151" s="8"/>
      <c r="M151" s="9" t="str">
        <f t="shared" si="13"/>
        <v/>
      </c>
      <c r="N151" s="14" t="str">
        <f>IFERROR(VLOOKUP(F151,'Menu &amp; Pricing'!$A$5:$I$54,6,FALSE),"")</f>
        <v/>
      </c>
      <c r="O151" s="9" t="str">
        <f t="shared" si="14"/>
        <v/>
      </c>
      <c r="P151" s="3"/>
      <c r="Q151" s="3"/>
      <c r="R151" s="3"/>
      <c r="S151" s="3"/>
      <c r="T151" s="3"/>
      <c r="U151" s="7">
        <f>IF(AND(A151&lt;&gt;"",Q151="Paid",R151="Completed",COUNTIFS($A$5:A151,A151,$B$5:B151,B151,$Q$5:Q151,"Paid",$R$5:R151,"Completed")=1),1,0)</f>
        <v>0</v>
      </c>
    </row>
    <row r="152" spans="1:21">
      <c r="A152" s="3"/>
      <c r="B152" s="4"/>
      <c r="C152" s="12"/>
      <c r="D152" s="3"/>
      <c r="E152" s="3"/>
      <c r="F152" s="3"/>
      <c r="G152" s="11" t="str">
        <f>IFERROR(VLOOKUP(F152,'Menu &amp; Pricing'!$A$5:$I$54,2,FALSE),"")</f>
        <v/>
      </c>
      <c r="H152" s="13"/>
      <c r="I152" s="14" t="str">
        <f>IFERROR(VLOOKUP(F152,'Menu &amp; Pricing'!$A$5:$I$54,5,FALSE),"")</f>
        <v/>
      </c>
      <c r="J152" s="8"/>
      <c r="K152" s="9" t="str">
        <f t="shared" si="12"/>
        <v/>
      </c>
      <c r="L152" s="8"/>
      <c r="M152" s="9" t="str">
        <f t="shared" si="13"/>
        <v/>
      </c>
      <c r="N152" s="14" t="str">
        <f>IFERROR(VLOOKUP(F152,'Menu &amp; Pricing'!$A$5:$I$54,6,FALSE),"")</f>
        <v/>
      </c>
      <c r="O152" s="9" t="str">
        <f t="shared" si="14"/>
        <v/>
      </c>
      <c r="P152" s="3"/>
      <c r="Q152" s="3"/>
      <c r="R152" s="3"/>
      <c r="S152" s="3"/>
      <c r="T152" s="3"/>
      <c r="U152" s="7">
        <f>IF(AND(A152&lt;&gt;"",Q152="Paid",R152="Completed",COUNTIFS($A$5:A152,A152,$B$5:B152,B152,$Q$5:Q152,"Paid",$R$5:R152,"Completed")=1),1,0)</f>
        <v>0</v>
      </c>
    </row>
    <row r="153" spans="1:21">
      <c r="A153" s="3"/>
      <c r="B153" s="4"/>
      <c r="C153" s="12"/>
      <c r="D153" s="3"/>
      <c r="E153" s="3"/>
      <c r="F153" s="3"/>
      <c r="G153" s="11" t="str">
        <f>IFERROR(VLOOKUP(F153,'Menu &amp; Pricing'!$A$5:$I$54,2,FALSE),"")</f>
        <v/>
      </c>
      <c r="H153" s="13"/>
      <c r="I153" s="14" t="str">
        <f>IFERROR(VLOOKUP(F153,'Menu &amp; Pricing'!$A$5:$I$54,5,FALSE),"")</f>
        <v/>
      </c>
      <c r="J153" s="8"/>
      <c r="K153" s="9" t="str">
        <f t="shared" si="12"/>
        <v/>
      </c>
      <c r="L153" s="8"/>
      <c r="M153" s="9" t="str">
        <f t="shared" si="13"/>
        <v/>
      </c>
      <c r="N153" s="14" t="str">
        <f>IFERROR(VLOOKUP(F153,'Menu &amp; Pricing'!$A$5:$I$54,6,FALSE),"")</f>
        <v/>
      </c>
      <c r="O153" s="9" t="str">
        <f t="shared" si="14"/>
        <v/>
      </c>
      <c r="P153" s="3"/>
      <c r="Q153" s="3"/>
      <c r="R153" s="3"/>
      <c r="S153" s="3"/>
      <c r="T153" s="3"/>
      <c r="U153" s="7">
        <f>IF(AND(A153&lt;&gt;"",Q153="Paid",R153="Completed",COUNTIFS($A$5:A153,A153,$B$5:B153,B153,$Q$5:Q153,"Paid",$R$5:R153,"Completed")=1),1,0)</f>
        <v>0</v>
      </c>
    </row>
    <row r="154" spans="1:21">
      <c r="A154" s="3"/>
      <c r="B154" s="4"/>
      <c r="C154" s="12"/>
      <c r="D154" s="3"/>
      <c r="E154" s="3"/>
      <c r="F154" s="3"/>
      <c r="G154" s="11" t="str">
        <f>IFERROR(VLOOKUP(F154,'Menu &amp; Pricing'!$A$5:$I$54,2,FALSE),"")</f>
        <v/>
      </c>
      <c r="H154" s="13"/>
      <c r="I154" s="14" t="str">
        <f>IFERROR(VLOOKUP(F154,'Menu &amp; Pricing'!$A$5:$I$54,5,FALSE),"")</f>
        <v/>
      </c>
      <c r="J154" s="8"/>
      <c r="K154" s="9" t="str">
        <f t="shared" si="12"/>
        <v/>
      </c>
      <c r="L154" s="8"/>
      <c r="M154" s="9" t="str">
        <f t="shared" si="13"/>
        <v/>
      </c>
      <c r="N154" s="14" t="str">
        <f>IFERROR(VLOOKUP(F154,'Menu &amp; Pricing'!$A$5:$I$54,6,FALSE),"")</f>
        <v/>
      </c>
      <c r="O154" s="9" t="str">
        <f t="shared" si="14"/>
        <v/>
      </c>
      <c r="P154" s="3"/>
      <c r="Q154" s="3"/>
      <c r="R154" s="3"/>
      <c r="S154" s="3"/>
      <c r="T154" s="3"/>
      <c r="U154" s="7">
        <f>IF(AND(A154&lt;&gt;"",Q154="Paid",R154="Completed",COUNTIFS($A$5:A154,A154,$B$5:B154,B154,$Q$5:Q154,"Paid",$R$5:R154,"Completed")=1),1,0)</f>
        <v>0</v>
      </c>
    </row>
  </sheetData>
  <mergeCells count="2">
    <mergeCell ref="A1:U1"/>
    <mergeCell ref="A2:U2"/>
  </mergeCells>
  <conditionalFormatting sqref="Q5:Q154">
    <cfRule type="expression" dxfId="11" priority="1">
      <formula>Q5="Paid"</formula>
    </cfRule>
  </conditionalFormatting>
  <conditionalFormatting sqref="R5:R154">
    <cfRule type="expression" dxfId="10" priority="2">
      <formula>R5="Cancelled"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Lists!$A$10:$A$13</xm:f>
          </x14:formula1>
          <xm:sqref>E5:E154</xm:sqref>
        </x14:dataValidation>
        <x14:dataValidation type="list" xr:uid="{00000000-0002-0000-0200-000001000000}">
          <x14:formula1>
            <xm:f>'Menu &amp; Pricing'!$A$5:$A$54</xm:f>
          </x14:formula1>
          <xm:sqref>F5:F154</xm:sqref>
        </x14:dataValidation>
        <x14:dataValidation type="list" xr:uid="{00000000-0002-0000-0200-000002000000}">
          <x14:formula1>
            <xm:f>Lists!$B$10:$B$15</xm:f>
          </x14:formula1>
          <xm:sqref>P5:P154</xm:sqref>
        </x14:dataValidation>
        <x14:dataValidation type="list" xr:uid="{00000000-0002-0000-0200-000003000000}">
          <x14:formula1>
            <xm:f>Lists!$C$10:$C$12</xm:f>
          </x14:formula1>
          <xm:sqref>Q5:Q154</xm:sqref>
        </x14:dataValidation>
        <x14:dataValidation type="list" xr:uid="{00000000-0002-0000-0200-000004000000}">
          <x14:formula1>
            <xm:f>Lists!$D$10:$D$12</xm:f>
          </x14:formula1>
          <xm:sqref>R5:R154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4"/>
  <sheetViews>
    <sheetView workbookViewId="0"/>
  </sheetViews>
  <sheetFormatPr defaultRowHeight="13.8"/>
  <cols>
    <col min="1" max="3" width="14" customWidth="1"/>
    <col min="4" max="6" width="24" customWidth="1"/>
    <col min="7" max="10" width="15" customWidth="1"/>
    <col min="11" max="13" width="18" customWidth="1"/>
    <col min="14" max="15" width="16" customWidth="1"/>
    <col min="16" max="16" width="28" customWidth="1"/>
  </cols>
  <sheetData>
    <row r="1" spans="1:16" ht="27.15" customHeight="1">
      <c r="A1" s="22" t="s">
        <v>101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20.85" customHeight="1">
      <c r="A2" s="24" t="s">
        <v>102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4" spans="1:16" ht="24" customHeight="1">
      <c r="A4" s="1" t="s">
        <v>103</v>
      </c>
      <c r="B4" s="1" t="s">
        <v>64</v>
      </c>
      <c r="C4" s="1" t="s">
        <v>85</v>
      </c>
      <c r="D4" s="1" t="s">
        <v>68</v>
      </c>
      <c r="E4" s="1" t="s">
        <v>104</v>
      </c>
      <c r="F4" s="1" t="s">
        <v>105</v>
      </c>
      <c r="G4" s="1" t="s">
        <v>89</v>
      </c>
      <c r="H4" s="1" t="s">
        <v>106</v>
      </c>
      <c r="I4" s="1" t="s">
        <v>107</v>
      </c>
      <c r="J4" s="1" t="s">
        <v>108</v>
      </c>
      <c r="K4" s="1" t="s">
        <v>95</v>
      </c>
      <c r="L4" s="1" t="s">
        <v>109</v>
      </c>
      <c r="M4" s="1" t="s">
        <v>110</v>
      </c>
      <c r="N4" s="1" t="s">
        <v>111</v>
      </c>
      <c r="O4" s="1" t="s">
        <v>112</v>
      </c>
      <c r="P4" s="1" t="s">
        <v>99</v>
      </c>
    </row>
    <row r="5" spans="1:16">
      <c r="A5" s="3"/>
      <c r="B5" s="4"/>
      <c r="C5" s="12"/>
      <c r="D5" s="3"/>
      <c r="E5" s="3"/>
      <c r="F5" s="3"/>
      <c r="G5" s="15"/>
      <c r="H5" s="3"/>
      <c r="I5" s="8"/>
      <c r="J5" s="9" t="str">
        <f t="shared" ref="J5:J36" si="0">IF(OR(G5="",I5=""),"",G5*I5)</f>
        <v/>
      </c>
      <c r="K5" s="3"/>
      <c r="L5" s="3"/>
      <c r="M5" s="3"/>
      <c r="N5" s="3"/>
      <c r="O5" s="3"/>
      <c r="P5" s="3"/>
    </row>
    <row r="6" spans="1:16">
      <c r="A6" s="3"/>
      <c r="B6" s="4"/>
      <c r="C6" s="12"/>
      <c r="D6" s="3"/>
      <c r="E6" s="3"/>
      <c r="F6" s="3"/>
      <c r="G6" s="15"/>
      <c r="H6" s="3"/>
      <c r="I6" s="8"/>
      <c r="J6" s="9" t="str">
        <f t="shared" si="0"/>
        <v/>
      </c>
      <c r="K6" s="3"/>
      <c r="L6" s="3"/>
      <c r="M6" s="3"/>
      <c r="N6" s="3"/>
      <c r="O6" s="3"/>
      <c r="P6" s="3"/>
    </row>
    <row r="7" spans="1:16">
      <c r="A7" s="3"/>
      <c r="B7" s="4"/>
      <c r="C7" s="12"/>
      <c r="D7" s="3"/>
      <c r="E7" s="3"/>
      <c r="F7" s="3"/>
      <c r="G7" s="15"/>
      <c r="H7" s="3"/>
      <c r="I7" s="8"/>
      <c r="J7" s="9" t="str">
        <f t="shared" si="0"/>
        <v/>
      </c>
      <c r="K7" s="3"/>
      <c r="L7" s="3"/>
      <c r="M7" s="3"/>
      <c r="N7" s="3"/>
      <c r="O7" s="3"/>
      <c r="P7" s="3"/>
    </row>
    <row r="8" spans="1:16">
      <c r="A8" s="3"/>
      <c r="B8" s="4"/>
      <c r="C8" s="12"/>
      <c r="D8" s="3"/>
      <c r="E8" s="3"/>
      <c r="F8" s="3"/>
      <c r="G8" s="15"/>
      <c r="H8" s="3"/>
      <c r="I8" s="8"/>
      <c r="J8" s="9" t="str">
        <f t="shared" si="0"/>
        <v/>
      </c>
      <c r="K8" s="3"/>
      <c r="L8" s="3"/>
      <c r="M8" s="3"/>
      <c r="N8" s="3"/>
      <c r="O8" s="3"/>
      <c r="P8" s="3"/>
    </row>
    <row r="9" spans="1:16">
      <c r="A9" s="3"/>
      <c r="B9" s="4"/>
      <c r="C9" s="12"/>
      <c r="D9" s="3"/>
      <c r="E9" s="3"/>
      <c r="F9" s="3"/>
      <c r="G9" s="15"/>
      <c r="H9" s="3"/>
      <c r="I9" s="8"/>
      <c r="J9" s="9" t="str">
        <f t="shared" si="0"/>
        <v/>
      </c>
      <c r="K9" s="3"/>
      <c r="L9" s="3"/>
      <c r="M9" s="3"/>
      <c r="N9" s="3"/>
      <c r="O9" s="3"/>
      <c r="P9" s="3"/>
    </row>
    <row r="10" spans="1:16">
      <c r="A10" s="3"/>
      <c r="B10" s="4"/>
      <c r="C10" s="12"/>
      <c r="D10" s="3"/>
      <c r="E10" s="3"/>
      <c r="F10" s="3"/>
      <c r="G10" s="15"/>
      <c r="H10" s="3"/>
      <c r="I10" s="8"/>
      <c r="J10" s="9" t="str">
        <f t="shared" si="0"/>
        <v/>
      </c>
      <c r="K10" s="3"/>
      <c r="L10" s="3"/>
      <c r="M10" s="3"/>
      <c r="N10" s="3"/>
      <c r="O10" s="3"/>
      <c r="P10" s="3"/>
    </row>
    <row r="11" spans="1:16">
      <c r="A11" s="3"/>
      <c r="B11" s="4"/>
      <c r="C11" s="12"/>
      <c r="D11" s="3"/>
      <c r="E11" s="3"/>
      <c r="F11" s="3"/>
      <c r="G11" s="15"/>
      <c r="H11" s="3"/>
      <c r="I11" s="8"/>
      <c r="J11" s="9" t="str">
        <f t="shared" si="0"/>
        <v/>
      </c>
      <c r="K11" s="3"/>
      <c r="L11" s="3"/>
      <c r="M11" s="3"/>
      <c r="N11" s="3"/>
      <c r="O11" s="3"/>
      <c r="P11" s="3"/>
    </row>
    <row r="12" spans="1:16">
      <c r="A12" s="3"/>
      <c r="B12" s="4"/>
      <c r="C12" s="12"/>
      <c r="D12" s="3"/>
      <c r="E12" s="3"/>
      <c r="F12" s="3"/>
      <c r="G12" s="15"/>
      <c r="H12" s="3"/>
      <c r="I12" s="8"/>
      <c r="J12" s="9" t="str">
        <f t="shared" si="0"/>
        <v/>
      </c>
      <c r="K12" s="3"/>
      <c r="L12" s="3"/>
      <c r="M12" s="3"/>
      <c r="N12" s="3"/>
      <c r="O12" s="3"/>
      <c r="P12" s="3"/>
    </row>
    <row r="13" spans="1:16">
      <c r="A13" s="3"/>
      <c r="B13" s="4"/>
      <c r="C13" s="12"/>
      <c r="D13" s="3"/>
      <c r="E13" s="3"/>
      <c r="F13" s="3"/>
      <c r="G13" s="15"/>
      <c r="H13" s="3"/>
      <c r="I13" s="8"/>
      <c r="J13" s="9" t="str">
        <f t="shared" si="0"/>
        <v/>
      </c>
      <c r="K13" s="3"/>
      <c r="L13" s="3"/>
      <c r="M13" s="3"/>
      <c r="N13" s="3"/>
      <c r="O13" s="3"/>
      <c r="P13" s="3"/>
    </row>
    <row r="14" spans="1:16">
      <c r="A14" s="3"/>
      <c r="B14" s="4"/>
      <c r="C14" s="12"/>
      <c r="D14" s="3"/>
      <c r="E14" s="3"/>
      <c r="F14" s="3"/>
      <c r="G14" s="15"/>
      <c r="H14" s="3"/>
      <c r="I14" s="8"/>
      <c r="J14" s="9" t="str">
        <f t="shared" si="0"/>
        <v/>
      </c>
      <c r="K14" s="3"/>
      <c r="L14" s="3"/>
      <c r="M14" s="3"/>
      <c r="N14" s="3"/>
      <c r="O14" s="3"/>
      <c r="P14" s="3"/>
    </row>
    <row r="15" spans="1:16">
      <c r="A15" s="3"/>
      <c r="B15" s="4"/>
      <c r="C15" s="12"/>
      <c r="D15" s="3"/>
      <c r="E15" s="3"/>
      <c r="F15" s="3"/>
      <c r="G15" s="15"/>
      <c r="H15" s="3"/>
      <c r="I15" s="8"/>
      <c r="J15" s="9" t="str">
        <f t="shared" si="0"/>
        <v/>
      </c>
      <c r="K15" s="3"/>
      <c r="L15" s="3"/>
      <c r="M15" s="3"/>
      <c r="N15" s="3"/>
      <c r="O15" s="3"/>
      <c r="P15" s="3"/>
    </row>
    <row r="16" spans="1:16">
      <c r="A16" s="3"/>
      <c r="B16" s="4"/>
      <c r="C16" s="12"/>
      <c r="D16" s="3"/>
      <c r="E16" s="3"/>
      <c r="F16" s="3"/>
      <c r="G16" s="15"/>
      <c r="H16" s="3"/>
      <c r="I16" s="8"/>
      <c r="J16" s="9" t="str">
        <f t="shared" si="0"/>
        <v/>
      </c>
      <c r="K16" s="3"/>
      <c r="L16" s="3"/>
      <c r="M16" s="3"/>
      <c r="N16" s="3"/>
      <c r="O16" s="3"/>
      <c r="P16" s="3"/>
    </row>
    <row r="17" spans="1:16">
      <c r="A17" s="3"/>
      <c r="B17" s="4"/>
      <c r="C17" s="12"/>
      <c r="D17" s="3"/>
      <c r="E17" s="3"/>
      <c r="F17" s="3"/>
      <c r="G17" s="15"/>
      <c r="H17" s="3"/>
      <c r="I17" s="8"/>
      <c r="J17" s="9" t="str">
        <f t="shared" si="0"/>
        <v/>
      </c>
      <c r="K17" s="3"/>
      <c r="L17" s="3"/>
      <c r="M17" s="3"/>
      <c r="N17" s="3"/>
      <c r="O17" s="3"/>
      <c r="P17" s="3"/>
    </row>
    <row r="18" spans="1:16">
      <c r="A18" s="3"/>
      <c r="B18" s="4"/>
      <c r="C18" s="12"/>
      <c r="D18" s="3"/>
      <c r="E18" s="3"/>
      <c r="F18" s="3"/>
      <c r="G18" s="15"/>
      <c r="H18" s="3"/>
      <c r="I18" s="8"/>
      <c r="J18" s="9" t="str">
        <f t="shared" si="0"/>
        <v/>
      </c>
      <c r="K18" s="3"/>
      <c r="L18" s="3"/>
      <c r="M18" s="3"/>
      <c r="N18" s="3"/>
      <c r="O18" s="3"/>
      <c r="P18" s="3"/>
    </row>
    <row r="19" spans="1:16">
      <c r="A19" s="3"/>
      <c r="B19" s="4"/>
      <c r="C19" s="12"/>
      <c r="D19" s="3"/>
      <c r="E19" s="3"/>
      <c r="F19" s="3"/>
      <c r="G19" s="15"/>
      <c r="H19" s="3"/>
      <c r="I19" s="8"/>
      <c r="J19" s="9" t="str">
        <f t="shared" si="0"/>
        <v/>
      </c>
      <c r="K19" s="3"/>
      <c r="L19" s="3"/>
      <c r="M19" s="3"/>
      <c r="N19" s="3"/>
      <c r="O19" s="3"/>
      <c r="P19" s="3"/>
    </row>
    <row r="20" spans="1:16">
      <c r="A20" s="3"/>
      <c r="B20" s="4"/>
      <c r="C20" s="12"/>
      <c r="D20" s="3"/>
      <c r="E20" s="3"/>
      <c r="F20" s="3"/>
      <c r="G20" s="15"/>
      <c r="H20" s="3"/>
      <c r="I20" s="8"/>
      <c r="J20" s="9" t="str">
        <f t="shared" si="0"/>
        <v/>
      </c>
      <c r="K20" s="3"/>
      <c r="L20" s="3"/>
      <c r="M20" s="3"/>
      <c r="N20" s="3"/>
      <c r="O20" s="3"/>
      <c r="P20" s="3"/>
    </row>
    <row r="21" spans="1:16">
      <c r="A21" s="3"/>
      <c r="B21" s="4"/>
      <c r="C21" s="12"/>
      <c r="D21" s="3"/>
      <c r="E21" s="3"/>
      <c r="F21" s="3"/>
      <c r="G21" s="15"/>
      <c r="H21" s="3"/>
      <c r="I21" s="8"/>
      <c r="J21" s="9" t="str">
        <f t="shared" si="0"/>
        <v/>
      </c>
      <c r="K21" s="3"/>
      <c r="L21" s="3"/>
      <c r="M21" s="3"/>
      <c r="N21" s="3"/>
      <c r="O21" s="3"/>
      <c r="P21" s="3"/>
    </row>
    <row r="22" spans="1:16">
      <c r="A22" s="3"/>
      <c r="B22" s="4"/>
      <c r="C22" s="12"/>
      <c r="D22" s="3"/>
      <c r="E22" s="3"/>
      <c r="F22" s="3"/>
      <c r="G22" s="15"/>
      <c r="H22" s="3"/>
      <c r="I22" s="8"/>
      <c r="J22" s="9" t="str">
        <f t="shared" si="0"/>
        <v/>
      </c>
      <c r="K22" s="3"/>
      <c r="L22" s="3"/>
      <c r="M22" s="3"/>
      <c r="N22" s="3"/>
      <c r="O22" s="3"/>
      <c r="P22" s="3"/>
    </row>
    <row r="23" spans="1:16">
      <c r="A23" s="3"/>
      <c r="B23" s="4"/>
      <c r="C23" s="12"/>
      <c r="D23" s="3"/>
      <c r="E23" s="3"/>
      <c r="F23" s="3"/>
      <c r="G23" s="15"/>
      <c r="H23" s="3"/>
      <c r="I23" s="8"/>
      <c r="J23" s="9" t="str">
        <f t="shared" si="0"/>
        <v/>
      </c>
      <c r="K23" s="3"/>
      <c r="L23" s="3"/>
      <c r="M23" s="3"/>
      <c r="N23" s="3"/>
      <c r="O23" s="3"/>
      <c r="P23" s="3"/>
    </row>
    <row r="24" spans="1:16">
      <c r="A24" s="3"/>
      <c r="B24" s="4"/>
      <c r="C24" s="12"/>
      <c r="D24" s="3"/>
      <c r="E24" s="3"/>
      <c r="F24" s="3"/>
      <c r="G24" s="15"/>
      <c r="H24" s="3"/>
      <c r="I24" s="8"/>
      <c r="J24" s="9" t="str">
        <f t="shared" si="0"/>
        <v/>
      </c>
      <c r="K24" s="3"/>
      <c r="L24" s="3"/>
      <c r="M24" s="3"/>
      <c r="N24" s="3"/>
      <c r="O24" s="3"/>
      <c r="P24" s="3"/>
    </row>
    <row r="25" spans="1:16">
      <c r="A25" s="3"/>
      <c r="B25" s="4"/>
      <c r="C25" s="12"/>
      <c r="D25" s="3"/>
      <c r="E25" s="3"/>
      <c r="F25" s="3"/>
      <c r="G25" s="15"/>
      <c r="H25" s="3"/>
      <c r="I25" s="8"/>
      <c r="J25" s="9" t="str">
        <f t="shared" si="0"/>
        <v/>
      </c>
      <c r="K25" s="3"/>
      <c r="L25" s="3"/>
      <c r="M25" s="3"/>
      <c r="N25" s="3"/>
      <c r="O25" s="3"/>
      <c r="P25" s="3"/>
    </row>
    <row r="26" spans="1:16">
      <c r="A26" s="3"/>
      <c r="B26" s="4"/>
      <c r="C26" s="12"/>
      <c r="D26" s="3"/>
      <c r="E26" s="3"/>
      <c r="F26" s="3"/>
      <c r="G26" s="15"/>
      <c r="H26" s="3"/>
      <c r="I26" s="8"/>
      <c r="J26" s="9" t="str">
        <f t="shared" si="0"/>
        <v/>
      </c>
      <c r="K26" s="3"/>
      <c r="L26" s="3"/>
      <c r="M26" s="3"/>
      <c r="N26" s="3"/>
      <c r="O26" s="3"/>
      <c r="P26" s="3"/>
    </row>
    <row r="27" spans="1:16">
      <c r="A27" s="3"/>
      <c r="B27" s="4"/>
      <c r="C27" s="12"/>
      <c r="D27" s="3"/>
      <c r="E27" s="3"/>
      <c r="F27" s="3"/>
      <c r="G27" s="15"/>
      <c r="H27" s="3"/>
      <c r="I27" s="8"/>
      <c r="J27" s="9" t="str">
        <f t="shared" si="0"/>
        <v/>
      </c>
      <c r="K27" s="3"/>
      <c r="L27" s="3"/>
      <c r="M27" s="3"/>
      <c r="N27" s="3"/>
      <c r="O27" s="3"/>
      <c r="P27" s="3"/>
    </row>
    <row r="28" spans="1:16">
      <c r="A28" s="3"/>
      <c r="B28" s="4"/>
      <c r="C28" s="12"/>
      <c r="D28" s="3"/>
      <c r="E28" s="3"/>
      <c r="F28" s="3"/>
      <c r="G28" s="15"/>
      <c r="H28" s="3"/>
      <c r="I28" s="8"/>
      <c r="J28" s="9" t="str">
        <f t="shared" si="0"/>
        <v/>
      </c>
      <c r="K28" s="3"/>
      <c r="L28" s="3"/>
      <c r="M28" s="3"/>
      <c r="N28" s="3"/>
      <c r="O28" s="3"/>
      <c r="P28" s="3"/>
    </row>
    <row r="29" spans="1:16">
      <c r="A29" s="3"/>
      <c r="B29" s="4"/>
      <c r="C29" s="12"/>
      <c r="D29" s="3"/>
      <c r="E29" s="3"/>
      <c r="F29" s="3"/>
      <c r="G29" s="15"/>
      <c r="H29" s="3"/>
      <c r="I29" s="8"/>
      <c r="J29" s="9" t="str">
        <f t="shared" si="0"/>
        <v/>
      </c>
      <c r="K29" s="3"/>
      <c r="L29" s="3"/>
      <c r="M29" s="3"/>
      <c r="N29" s="3"/>
      <c r="O29" s="3"/>
      <c r="P29" s="3"/>
    </row>
    <row r="30" spans="1:16">
      <c r="A30" s="3"/>
      <c r="B30" s="4"/>
      <c r="C30" s="12"/>
      <c r="D30" s="3"/>
      <c r="E30" s="3"/>
      <c r="F30" s="3"/>
      <c r="G30" s="15"/>
      <c r="H30" s="3"/>
      <c r="I30" s="8"/>
      <c r="J30" s="9" t="str">
        <f t="shared" si="0"/>
        <v/>
      </c>
      <c r="K30" s="3"/>
      <c r="L30" s="3"/>
      <c r="M30" s="3"/>
      <c r="N30" s="3"/>
      <c r="O30" s="3"/>
      <c r="P30" s="3"/>
    </row>
    <row r="31" spans="1:16">
      <c r="A31" s="3"/>
      <c r="B31" s="4"/>
      <c r="C31" s="12"/>
      <c r="D31" s="3"/>
      <c r="E31" s="3"/>
      <c r="F31" s="3"/>
      <c r="G31" s="15"/>
      <c r="H31" s="3"/>
      <c r="I31" s="8"/>
      <c r="J31" s="9" t="str">
        <f t="shared" si="0"/>
        <v/>
      </c>
      <c r="K31" s="3"/>
      <c r="L31" s="3"/>
      <c r="M31" s="3"/>
      <c r="N31" s="3"/>
      <c r="O31" s="3"/>
      <c r="P31" s="3"/>
    </row>
    <row r="32" spans="1:16">
      <c r="A32" s="3"/>
      <c r="B32" s="4"/>
      <c r="C32" s="12"/>
      <c r="D32" s="3"/>
      <c r="E32" s="3"/>
      <c r="F32" s="3"/>
      <c r="G32" s="15"/>
      <c r="H32" s="3"/>
      <c r="I32" s="8"/>
      <c r="J32" s="9" t="str">
        <f t="shared" si="0"/>
        <v/>
      </c>
      <c r="K32" s="3"/>
      <c r="L32" s="3"/>
      <c r="M32" s="3"/>
      <c r="N32" s="3"/>
      <c r="O32" s="3"/>
      <c r="P32" s="3"/>
    </row>
    <row r="33" spans="1:16">
      <c r="A33" s="3"/>
      <c r="B33" s="4"/>
      <c r="C33" s="12"/>
      <c r="D33" s="3"/>
      <c r="E33" s="3"/>
      <c r="F33" s="3"/>
      <c r="G33" s="15"/>
      <c r="H33" s="3"/>
      <c r="I33" s="8"/>
      <c r="J33" s="9" t="str">
        <f t="shared" si="0"/>
        <v/>
      </c>
      <c r="K33" s="3"/>
      <c r="L33" s="3"/>
      <c r="M33" s="3"/>
      <c r="N33" s="3"/>
      <c r="O33" s="3"/>
      <c r="P33" s="3"/>
    </row>
    <row r="34" spans="1:16">
      <c r="A34" s="3"/>
      <c r="B34" s="4"/>
      <c r="C34" s="12"/>
      <c r="D34" s="3"/>
      <c r="E34" s="3"/>
      <c r="F34" s="3"/>
      <c r="G34" s="15"/>
      <c r="H34" s="3"/>
      <c r="I34" s="8"/>
      <c r="J34" s="9" t="str">
        <f t="shared" si="0"/>
        <v/>
      </c>
      <c r="K34" s="3"/>
      <c r="L34" s="3"/>
      <c r="M34" s="3"/>
      <c r="N34" s="3"/>
      <c r="O34" s="3"/>
      <c r="P34" s="3"/>
    </row>
    <row r="35" spans="1:16">
      <c r="A35" s="3"/>
      <c r="B35" s="4"/>
      <c r="C35" s="12"/>
      <c r="D35" s="3"/>
      <c r="E35" s="3"/>
      <c r="F35" s="3"/>
      <c r="G35" s="15"/>
      <c r="H35" s="3"/>
      <c r="I35" s="8"/>
      <c r="J35" s="9" t="str">
        <f t="shared" si="0"/>
        <v/>
      </c>
      <c r="K35" s="3"/>
      <c r="L35" s="3"/>
      <c r="M35" s="3"/>
      <c r="N35" s="3"/>
      <c r="O35" s="3"/>
      <c r="P35" s="3"/>
    </row>
    <row r="36" spans="1:16">
      <c r="A36" s="3"/>
      <c r="B36" s="4"/>
      <c r="C36" s="12"/>
      <c r="D36" s="3"/>
      <c r="E36" s="3"/>
      <c r="F36" s="3"/>
      <c r="G36" s="15"/>
      <c r="H36" s="3"/>
      <c r="I36" s="8"/>
      <c r="J36" s="9" t="str">
        <f t="shared" si="0"/>
        <v/>
      </c>
      <c r="K36" s="3"/>
      <c r="L36" s="3"/>
      <c r="M36" s="3"/>
      <c r="N36" s="3"/>
      <c r="O36" s="3"/>
      <c r="P36" s="3"/>
    </row>
    <row r="37" spans="1:16">
      <c r="A37" s="3"/>
      <c r="B37" s="4"/>
      <c r="C37" s="12"/>
      <c r="D37" s="3"/>
      <c r="E37" s="3"/>
      <c r="F37" s="3"/>
      <c r="G37" s="15"/>
      <c r="H37" s="3"/>
      <c r="I37" s="8"/>
      <c r="J37" s="9" t="str">
        <f t="shared" ref="J37:J68" si="1">IF(OR(G37="",I37=""),"",G37*I37)</f>
        <v/>
      </c>
      <c r="K37" s="3"/>
      <c r="L37" s="3"/>
      <c r="M37" s="3"/>
      <c r="N37" s="3"/>
      <c r="O37" s="3"/>
      <c r="P37" s="3"/>
    </row>
    <row r="38" spans="1:16">
      <c r="A38" s="3"/>
      <c r="B38" s="4"/>
      <c r="C38" s="12"/>
      <c r="D38" s="3"/>
      <c r="E38" s="3"/>
      <c r="F38" s="3"/>
      <c r="G38" s="15"/>
      <c r="H38" s="3"/>
      <c r="I38" s="8"/>
      <c r="J38" s="9" t="str">
        <f t="shared" si="1"/>
        <v/>
      </c>
      <c r="K38" s="3"/>
      <c r="L38" s="3"/>
      <c r="M38" s="3"/>
      <c r="N38" s="3"/>
      <c r="O38" s="3"/>
      <c r="P38" s="3"/>
    </row>
    <row r="39" spans="1:16">
      <c r="A39" s="3"/>
      <c r="B39" s="4"/>
      <c r="C39" s="12"/>
      <c r="D39" s="3"/>
      <c r="E39" s="3"/>
      <c r="F39" s="3"/>
      <c r="G39" s="15"/>
      <c r="H39" s="3"/>
      <c r="I39" s="8"/>
      <c r="J39" s="9" t="str">
        <f t="shared" si="1"/>
        <v/>
      </c>
      <c r="K39" s="3"/>
      <c r="L39" s="3"/>
      <c r="M39" s="3"/>
      <c r="N39" s="3"/>
      <c r="O39" s="3"/>
      <c r="P39" s="3"/>
    </row>
    <row r="40" spans="1:16">
      <c r="A40" s="3"/>
      <c r="B40" s="4"/>
      <c r="C40" s="12"/>
      <c r="D40" s="3"/>
      <c r="E40" s="3"/>
      <c r="F40" s="3"/>
      <c r="G40" s="15"/>
      <c r="H40" s="3"/>
      <c r="I40" s="8"/>
      <c r="J40" s="9" t="str">
        <f t="shared" si="1"/>
        <v/>
      </c>
      <c r="K40" s="3"/>
      <c r="L40" s="3"/>
      <c r="M40" s="3"/>
      <c r="N40" s="3"/>
      <c r="O40" s="3"/>
      <c r="P40" s="3"/>
    </row>
    <row r="41" spans="1:16">
      <c r="A41" s="3"/>
      <c r="B41" s="4"/>
      <c r="C41" s="12"/>
      <c r="D41" s="3"/>
      <c r="E41" s="3"/>
      <c r="F41" s="3"/>
      <c r="G41" s="15"/>
      <c r="H41" s="3"/>
      <c r="I41" s="8"/>
      <c r="J41" s="9" t="str">
        <f t="shared" si="1"/>
        <v/>
      </c>
      <c r="K41" s="3"/>
      <c r="L41" s="3"/>
      <c r="M41" s="3"/>
      <c r="N41" s="3"/>
      <c r="O41" s="3"/>
      <c r="P41" s="3"/>
    </row>
    <row r="42" spans="1:16">
      <c r="A42" s="3"/>
      <c r="B42" s="4"/>
      <c r="C42" s="12"/>
      <c r="D42" s="3"/>
      <c r="E42" s="3"/>
      <c r="F42" s="3"/>
      <c r="G42" s="15"/>
      <c r="H42" s="3"/>
      <c r="I42" s="8"/>
      <c r="J42" s="9" t="str">
        <f t="shared" si="1"/>
        <v/>
      </c>
      <c r="K42" s="3"/>
      <c r="L42" s="3"/>
      <c r="M42" s="3"/>
      <c r="N42" s="3"/>
      <c r="O42" s="3"/>
      <c r="P42" s="3"/>
    </row>
    <row r="43" spans="1:16">
      <c r="A43" s="3"/>
      <c r="B43" s="4"/>
      <c r="C43" s="12"/>
      <c r="D43" s="3"/>
      <c r="E43" s="3"/>
      <c r="F43" s="3"/>
      <c r="G43" s="15"/>
      <c r="H43" s="3"/>
      <c r="I43" s="8"/>
      <c r="J43" s="9" t="str">
        <f t="shared" si="1"/>
        <v/>
      </c>
      <c r="K43" s="3"/>
      <c r="L43" s="3"/>
      <c r="M43" s="3"/>
      <c r="N43" s="3"/>
      <c r="O43" s="3"/>
      <c r="P43" s="3"/>
    </row>
    <row r="44" spans="1:16">
      <c r="A44" s="3"/>
      <c r="B44" s="4"/>
      <c r="C44" s="12"/>
      <c r="D44" s="3"/>
      <c r="E44" s="3"/>
      <c r="F44" s="3"/>
      <c r="G44" s="15"/>
      <c r="H44" s="3"/>
      <c r="I44" s="8"/>
      <c r="J44" s="9" t="str">
        <f t="shared" si="1"/>
        <v/>
      </c>
      <c r="K44" s="3"/>
      <c r="L44" s="3"/>
      <c r="M44" s="3"/>
      <c r="N44" s="3"/>
      <c r="O44" s="3"/>
      <c r="P44" s="3"/>
    </row>
    <row r="45" spans="1:16">
      <c r="A45" s="3"/>
      <c r="B45" s="4"/>
      <c r="C45" s="12"/>
      <c r="D45" s="3"/>
      <c r="E45" s="3"/>
      <c r="F45" s="3"/>
      <c r="G45" s="15"/>
      <c r="H45" s="3"/>
      <c r="I45" s="8"/>
      <c r="J45" s="9" t="str">
        <f t="shared" si="1"/>
        <v/>
      </c>
      <c r="K45" s="3"/>
      <c r="L45" s="3"/>
      <c r="M45" s="3"/>
      <c r="N45" s="3"/>
      <c r="O45" s="3"/>
      <c r="P45" s="3"/>
    </row>
    <row r="46" spans="1:16">
      <c r="A46" s="3"/>
      <c r="B46" s="4"/>
      <c r="C46" s="12"/>
      <c r="D46" s="3"/>
      <c r="E46" s="3"/>
      <c r="F46" s="3"/>
      <c r="G46" s="15"/>
      <c r="H46" s="3"/>
      <c r="I46" s="8"/>
      <c r="J46" s="9" t="str">
        <f t="shared" si="1"/>
        <v/>
      </c>
      <c r="K46" s="3"/>
      <c r="L46" s="3"/>
      <c r="M46" s="3"/>
      <c r="N46" s="3"/>
      <c r="O46" s="3"/>
      <c r="P46" s="3"/>
    </row>
    <row r="47" spans="1:16">
      <c r="A47" s="3"/>
      <c r="B47" s="4"/>
      <c r="C47" s="12"/>
      <c r="D47" s="3"/>
      <c r="E47" s="3"/>
      <c r="F47" s="3"/>
      <c r="G47" s="15"/>
      <c r="H47" s="3"/>
      <c r="I47" s="8"/>
      <c r="J47" s="9" t="str">
        <f t="shared" si="1"/>
        <v/>
      </c>
      <c r="K47" s="3"/>
      <c r="L47" s="3"/>
      <c r="M47" s="3"/>
      <c r="N47" s="3"/>
      <c r="O47" s="3"/>
      <c r="P47" s="3"/>
    </row>
    <row r="48" spans="1:16">
      <c r="A48" s="3"/>
      <c r="B48" s="4"/>
      <c r="C48" s="12"/>
      <c r="D48" s="3"/>
      <c r="E48" s="3"/>
      <c r="F48" s="3"/>
      <c r="G48" s="15"/>
      <c r="H48" s="3"/>
      <c r="I48" s="8"/>
      <c r="J48" s="9" t="str">
        <f t="shared" si="1"/>
        <v/>
      </c>
      <c r="K48" s="3"/>
      <c r="L48" s="3"/>
      <c r="M48" s="3"/>
      <c r="N48" s="3"/>
      <c r="O48" s="3"/>
      <c r="P48" s="3"/>
    </row>
    <row r="49" spans="1:16">
      <c r="A49" s="3"/>
      <c r="B49" s="4"/>
      <c r="C49" s="12"/>
      <c r="D49" s="3"/>
      <c r="E49" s="3"/>
      <c r="F49" s="3"/>
      <c r="G49" s="15"/>
      <c r="H49" s="3"/>
      <c r="I49" s="8"/>
      <c r="J49" s="9" t="str">
        <f t="shared" si="1"/>
        <v/>
      </c>
      <c r="K49" s="3"/>
      <c r="L49" s="3"/>
      <c r="M49" s="3"/>
      <c r="N49" s="3"/>
      <c r="O49" s="3"/>
      <c r="P49" s="3"/>
    </row>
    <row r="50" spans="1:16">
      <c r="A50" s="3"/>
      <c r="B50" s="4"/>
      <c r="C50" s="12"/>
      <c r="D50" s="3"/>
      <c r="E50" s="3"/>
      <c r="F50" s="3"/>
      <c r="G50" s="15"/>
      <c r="H50" s="3"/>
      <c r="I50" s="8"/>
      <c r="J50" s="9" t="str">
        <f t="shared" si="1"/>
        <v/>
      </c>
      <c r="K50" s="3"/>
      <c r="L50" s="3"/>
      <c r="M50" s="3"/>
      <c r="N50" s="3"/>
      <c r="O50" s="3"/>
      <c r="P50" s="3"/>
    </row>
    <row r="51" spans="1:16">
      <c r="A51" s="3"/>
      <c r="B51" s="4"/>
      <c r="C51" s="12"/>
      <c r="D51" s="3"/>
      <c r="E51" s="3"/>
      <c r="F51" s="3"/>
      <c r="G51" s="15"/>
      <c r="H51" s="3"/>
      <c r="I51" s="8"/>
      <c r="J51" s="9" t="str">
        <f t="shared" si="1"/>
        <v/>
      </c>
      <c r="K51" s="3"/>
      <c r="L51" s="3"/>
      <c r="M51" s="3"/>
      <c r="N51" s="3"/>
      <c r="O51" s="3"/>
      <c r="P51" s="3"/>
    </row>
    <row r="52" spans="1:16">
      <c r="A52" s="3"/>
      <c r="B52" s="4"/>
      <c r="C52" s="12"/>
      <c r="D52" s="3"/>
      <c r="E52" s="3"/>
      <c r="F52" s="3"/>
      <c r="G52" s="15"/>
      <c r="H52" s="3"/>
      <c r="I52" s="8"/>
      <c r="J52" s="9" t="str">
        <f t="shared" si="1"/>
        <v/>
      </c>
      <c r="K52" s="3"/>
      <c r="L52" s="3"/>
      <c r="M52" s="3"/>
      <c r="N52" s="3"/>
      <c r="O52" s="3"/>
      <c r="P52" s="3"/>
    </row>
    <row r="53" spans="1:16">
      <c r="A53" s="3"/>
      <c r="B53" s="4"/>
      <c r="C53" s="12"/>
      <c r="D53" s="3"/>
      <c r="E53" s="3"/>
      <c r="F53" s="3"/>
      <c r="G53" s="15"/>
      <c r="H53" s="3"/>
      <c r="I53" s="8"/>
      <c r="J53" s="9" t="str">
        <f t="shared" si="1"/>
        <v/>
      </c>
      <c r="K53" s="3"/>
      <c r="L53" s="3"/>
      <c r="M53" s="3"/>
      <c r="N53" s="3"/>
      <c r="O53" s="3"/>
      <c r="P53" s="3"/>
    </row>
    <row r="54" spans="1:16">
      <c r="A54" s="3"/>
      <c r="B54" s="4"/>
      <c r="C54" s="12"/>
      <c r="D54" s="3"/>
      <c r="E54" s="3"/>
      <c r="F54" s="3"/>
      <c r="G54" s="15"/>
      <c r="H54" s="3"/>
      <c r="I54" s="8"/>
      <c r="J54" s="9" t="str">
        <f t="shared" si="1"/>
        <v/>
      </c>
      <c r="K54" s="3"/>
      <c r="L54" s="3"/>
      <c r="M54" s="3"/>
      <c r="N54" s="3"/>
      <c r="O54" s="3"/>
      <c r="P54" s="3"/>
    </row>
    <row r="55" spans="1:16">
      <c r="A55" s="3"/>
      <c r="B55" s="4"/>
      <c r="C55" s="12"/>
      <c r="D55" s="3"/>
      <c r="E55" s="3"/>
      <c r="F55" s="3"/>
      <c r="G55" s="15"/>
      <c r="H55" s="3"/>
      <c r="I55" s="8"/>
      <c r="J55" s="9" t="str">
        <f t="shared" si="1"/>
        <v/>
      </c>
      <c r="K55" s="3"/>
      <c r="L55" s="3"/>
      <c r="M55" s="3"/>
      <c r="N55" s="3"/>
      <c r="O55" s="3"/>
      <c r="P55" s="3"/>
    </row>
    <row r="56" spans="1:16">
      <c r="A56" s="3"/>
      <c r="B56" s="4"/>
      <c r="C56" s="12"/>
      <c r="D56" s="3"/>
      <c r="E56" s="3"/>
      <c r="F56" s="3"/>
      <c r="G56" s="15"/>
      <c r="H56" s="3"/>
      <c r="I56" s="8"/>
      <c r="J56" s="9" t="str">
        <f t="shared" si="1"/>
        <v/>
      </c>
      <c r="K56" s="3"/>
      <c r="L56" s="3"/>
      <c r="M56" s="3"/>
      <c r="N56" s="3"/>
      <c r="O56" s="3"/>
      <c r="P56" s="3"/>
    </row>
    <row r="57" spans="1:16">
      <c r="A57" s="3"/>
      <c r="B57" s="4"/>
      <c r="C57" s="12"/>
      <c r="D57" s="3"/>
      <c r="E57" s="3"/>
      <c r="F57" s="3"/>
      <c r="G57" s="15"/>
      <c r="H57" s="3"/>
      <c r="I57" s="8"/>
      <c r="J57" s="9" t="str">
        <f t="shared" si="1"/>
        <v/>
      </c>
      <c r="K57" s="3"/>
      <c r="L57" s="3"/>
      <c r="M57" s="3"/>
      <c r="N57" s="3"/>
      <c r="O57" s="3"/>
      <c r="P57" s="3"/>
    </row>
    <row r="58" spans="1:16">
      <c r="A58" s="3"/>
      <c r="B58" s="4"/>
      <c r="C58" s="12"/>
      <c r="D58" s="3"/>
      <c r="E58" s="3"/>
      <c r="F58" s="3"/>
      <c r="G58" s="15"/>
      <c r="H58" s="3"/>
      <c r="I58" s="8"/>
      <c r="J58" s="9" t="str">
        <f t="shared" si="1"/>
        <v/>
      </c>
      <c r="K58" s="3"/>
      <c r="L58" s="3"/>
      <c r="M58" s="3"/>
      <c r="N58" s="3"/>
      <c r="O58" s="3"/>
      <c r="P58" s="3"/>
    </row>
    <row r="59" spans="1:16">
      <c r="A59" s="3"/>
      <c r="B59" s="4"/>
      <c r="C59" s="12"/>
      <c r="D59" s="3"/>
      <c r="E59" s="3"/>
      <c r="F59" s="3"/>
      <c r="G59" s="15"/>
      <c r="H59" s="3"/>
      <c r="I59" s="8"/>
      <c r="J59" s="9" t="str">
        <f t="shared" si="1"/>
        <v/>
      </c>
      <c r="K59" s="3"/>
      <c r="L59" s="3"/>
      <c r="M59" s="3"/>
      <c r="N59" s="3"/>
      <c r="O59" s="3"/>
      <c r="P59" s="3"/>
    </row>
    <row r="60" spans="1:16">
      <c r="A60" s="3"/>
      <c r="B60" s="4"/>
      <c r="C60" s="12"/>
      <c r="D60" s="3"/>
      <c r="E60" s="3"/>
      <c r="F60" s="3"/>
      <c r="G60" s="15"/>
      <c r="H60" s="3"/>
      <c r="I60" s="8"/>
      <c r="J60" s="9" t="str">
        <f t="shared" si="1"/>
        <v/>
      </c>
      <c r="K60" s="3"/>
      <c r="L60" s="3"/>
      <c r="M60" s="3"/>
      <c r="N60" s="3"/>
      <c r="O60" s="3"/>
      <c r="P60" s="3"/>
    </row>
    <row r="61" spans="1:16">
      <c r="A61" s="3"/>
      <c r="B61" s="4"/>
      <c r="C61" s="12"/>
      <c r="D61" s="3"/>
      <c r="E61" s="3"/>
      <c r="F61" s="3"/>
      <c r="G61" s="15"/>
      <c r="H61" s="3"/>
      <c r="I61" s="8"/>
      <c r="J61" s="9" t="str">
        <f t="shared" si="1"/>
        <v/>
      </c>
      <c r="K61" s="3"/>
      <c r="L61" s="3"/>
      <c r="M61" s="3"/>
      <c r="N61" s="3"/>
      <c r="O61" s="3"/>
      <c r="P61" s="3"/>
    </row>
    <row r="62" spans="1:16">
      <c r="A62" s="3"/>
      <c r="B62" s="4"/>
      <c r="C62" s="12"/>
      <c r="D62" s="3"/>
      <c r="E62" s="3"/>
      <c r="F62" s="3"/>
      <c r="G62" s="15"/>
      <c r="H62" s="3"/>
      <c r="I62" s="8"/>
      <c r="J62" s="9" t="str">
        <f t="shared" si="1"/>
        <v/>
      </c>
      <c r="K62" s="3"/>
      <c r="L62" s="3"/>
      <c r="M62" s="3"/>
      <c r="N62" s="3"/>
      <c r="O62" s="3"/>
      <c r="P62" s="3"/>
    </row>
    <row r="63" spans="1:16">
      <c r="A63" s="3"/>
      <c r="B63" s="4"/>
      <c r="C63" s="12"/>
      <c r="D63" s="3"/>
      <c r="E63" s="3"/>
      <c r="F63" s="3"/>
      <c r="G63" s="15"/>
      <c r="H63" s="3"/>
      <c r="I63" s="8"/>
      <c r="J63" s="9" t="str">
        <f t="shared" si="1"/>
        <v/>
      </c>
      <c r="K63" s="3"/>
      <c r="L63" s="3"/>
      <c r="M63" s="3"/>
      <c r="N63" s="3"/>
      <c r="O63" s="3"/>
      <c r="P63" s="3"/>
    </row>
    <row r="64" spans="1:16">
      <c r="A64" s="3"/>
      <c r="B64" s="4"/>
      <c r="C64" s="12"/>
      <c r="D64" s="3"/>
      <c r="E64" s="3"/>
      <c r="F64" s="3"/>
      <c r="G64" s="15"/>
      <c r="H64" s="3"/>
      <c r="I64" s="8"/>
      <c r="J64" s="9" t="str">
        <f t="shared" si="1"/>
        <v/>
      </c>
      <c r="K64" s="3"/>
      <c r="L64" s="3"/>
      <c r="M64" s="3"/>
      <c r="N64" s="3"/>
      <c r="O64" s="3"/>
      <c r="P64" s="3"/>
    </row>
    <row r="65" spans="1:16">
      <c r="A65" s="3"/>
      <c r="B65" s="4"/>
      <c r="C65" s="12"/>
      <c r="D65" s="3"/>
      <c r="E65" s="3"/>
      <c r="F65" s="3"/>
      <c r="G65" s="15"/>
      <c r="H65" s="3"/>
      <c r="I65" s="8"/>
      <c r="J65" s="9" t="str">
        <f t="shared" si="1"/>
        <v/>
      </c>
      <c r="K65" s="3"/>
      <c r="L65" s="3"/>
      <c r="M65" s="3"/>
      <c r="N65" s="3"/>
      <c r="O65" s="3"/>
      <c r="P65" s="3"/>
    </row>
    <row r="66" spans="1:16">
      <c r="A66" s="3"/>
      <c r="B66" s="4"/>
      <c r="C66" s="12"/>
      <c r="D66" s="3"/>
      <c r="E66" s="3"/>
      <c r="F66" s="3"/>
      <c r="G66" s="15"/>
      <c r="H66" s="3"/>
      <c r="I66" s="8"/>
      <c r="J66" s="9" t="str">
        <f t="shared" si="1"/>
        <v/>
      </c>
      <c r="K66" s="3"/>
      <c r="L66" s="3"/>
      <c r="M66" s="3"/>
      <c r="N66" s="3"/>
      <c r="O66" s="3"/>
      <c r="P66" s="3"/>
    </row>
    <row r="67" spans="1:16">
      <c r="A67" s="3"/>
      <c r="B67" s="4"/>
      <c r="C67" s="12"/>
      <c r="D67" s="3"/>
      <c r="E67" s="3"/>
      <c r="F67" s="3"/>
      <c r="G67" s="15"/>
      <c r="H67" s="3"/>
      <c r="I67" s="8"/>
      <c r="J67" s="9" t="str">
        <f t="shared" si="1"/>
        <v/>
      </c>
      <c r="K67" s="3"/>
      <c r="L67" s="3"/>
      <c r="M67" s="3"/>
      <c r="N67" s="3"/>
      <c r="O67" s="3"/>
      <c r="P67" s="3"/>
    </row>
    <row r="68" spans="1:16">
      <c r="A68" s="3"/>
      <c r="B68" s="4"/>
      <c r="C68" s="12"/>
      <c r="D68" s="3"/>
      <c r="E68" s="3"/>
      <c r="F68" s="3"/>
      <c r="G68" s="15"/>
      <c r="H68" s="3"/>
      <c r="I68" s="8"/>
      <c r="J68" s="9" t="str">
        <f t="shared" si="1"/>
        <v/>
      </c>
      <c r="K68" s="3"/>
      <c r="L68" s="3"/>
      <c r="M68" s="3"/>
      <c r="N68" s="3"/>
      <c r="O68" s="3"/>
      <c r="P68" s="3"/>
    </row>
    <row r="69" spans="1:16">
      <c r="A69" s="3"/>
      <c r="B69" s="4"/>
      <c r="C69" s="12"/>
      <c r="D69" s="3"/>
      <c r="E69" s="3"/>
      <c r="F69" s="3"/>
      <c r="G69" s="15"/>
      <c r="H69" s="3"/>
      <c r="I69" s="8"/>
      <c r="J69" s="9" t="str">
        <f t="shared" ref="J69:J100" si="2">IF(OR(G69="",I69=""),"",G69*I69)</f>
        <v/>
      </c>
      <c r="K69" s="3"/>
      <c r="L69" s="3"/>
      <c r="M69" s="3"/>
      <c r="N69" s="3"/>
      <c r="O69" s="3"/>
      <c r="P69" s="3"/>
    </row>
    <row r="70" spans="1:16">
      <c r="A70" s="3"/>
      <c r="B70" s="4"/>
      <c r="C70" s="12"/>
      <c r="D70" s="3"/>
      <c r="E70" s="3"/>
      <c r="F70" s="3"/>
      <c r="G70" s="15"/>
      <c r="H70" s="3"/>
      <c r="I70" s="8"/>
      <c r="J70" s="9" t="str">
        <f t="shared" si="2"/>
        <v/>
      </c>
      <c r="K70" s="3"/>
      <c r="L70" s="3"/>
      <c r="M70" s="3"/>
      <c r="N70" s="3"/>
      <c r="O70" s="3"/>
      <c r="P70" s="3"/>
    </row>
    <row r="71" spans="1:16">
      <c r="A71" s="3"/>
      <c r="B71" s="4"/>
      <c r="C71" s="12"/>
      <c r="D71" s="3"/>
      <c r="E71" s="3"/>
      <c r="F71" s="3"/>
      <c r="G71" s="15"/>
      <c r="H71" s="3"/>
      <c r="I71" s="8"/>
      <c r="J71" s="9" t="str">
        <f t="shared" si="2"/>
        <v/>
      </c>
      <c r="K71" s="3"/>
      <c r="L71" s="3"/>
      <c r="M71" s="3"/>
      <c r="N71" s="3"/>
      <c r="O71" s="3"/>
      <c r="P71" s="3"/>
    </row>
    <row r="72" spans="1:16">
      <c r="A72" s="3"/>
      <c r="B72" s="4"/>
      <c r="C72" s="12"/>
      <c r="D72" s="3"/>
      <c r="E72" s="3"/>
      <c r="F72" s="3"/>
      <c r="G72" s="15"/>
      <c r="H72" s="3"/>
      <c r="I72" s="8"/>
      <c r="J72" s="9" t="str">
        <f t="shared" si="2"/>
        <v/>
      </c>
      <c r="K72" s="3"/>
      <c r="L72" s="3"/>
      <c r="M72" s="3"/>
      <c r="N72" s="3"/>
      <c r="O72" s="3"/>
      <c r="P72" s="3"/>
    </row>
    <row r="73" spans="1:16">
      <c r="A73" s="3"/>
      <c r="B73" s="4"/>
      <c r="C73" s="12"/>
      <c r="D73" s="3"/>
      <c r="E73" s="3"/>
      <c r="F73" s="3"/>
      <c r="G73" s="15"/>
      <c r="H73" s="3"/>
      <c r="I73" s="8"/>
      <c r="J73" s="9" t="str">
        <f t="shared" si="2"/>
        <v/>
      </c>
      <c r="K73" s="3"/>
      <c r="L73" s="3"/>
      <c r="M73" s="3"/>
      <c r="N73" s="3"/>
      <c r="O73" s="3"/>
      <c r="P73" s="3"/>
    </row>
    <row r="74" spans="1:16">
      <c r="A74" s="3"/>
      <c r="B74" s="4"/>
      <c r="C74" s="12"/>
      <c r="D74" s="3"/>
      <c r="E74" s="3"/>
      <c r="F74" s="3"/>
      <c r="G74" s="15"/>
      <c r="H74" s="3"/>
      <c r="I74" s="8"/>
      <c r="J74" s="9" t="str">
        <f t="shared" si="2"/>
        <v/>
      </c>
      <c r="K74" s="3"/>
      <c r="L74" s="3"/>
      <c r="M74" s="3"/>
      <c r="N74" s="3"/>
      <c r="O74" s="3"/>
      <c r="P74" s="3"/>
    </row>
    <row r="75" spans="1:16">
      <c r="A75" s="3"/>
      <c r="B75" s="4"/>
      <c r="C75" s="12"/>
      <c r="D75" s="3"/>
      <c r="E75" s="3"/>
      <c r="F75" s="3"/>
      <c r="G75" s="15"/>
      <c r="H75" s="3"/>
      <c r="I75" s="8"/>
      <c r="J75" s="9" t="str">
        <f t="shared" si="2"/>
        <v/>
      </c>
      <c r="K75" s="3"/>
      <c r="L75" s="3"/>
      <c r="M75" s="3"/>
      <c r="N75" s="3"/>
      <c r="O75" s="3"/>
      <c r="P75" s="3"/>
    </row>
    <row r="76" spans="1:16">
      <c r="A76" s="3"/>
      <c r="B76" s="4"/>
      <c r="C76" s="12"/>
      <c r="D76" s="3"/>
      <c r="E76" s="3"/>
      <c r="F76" s="3"/>
      <c r="G76" s="15"/>
      <c r="H76" s="3"/>
      <c r="I76" s="8"/>
      <c r="J76" s="9" t="str">
        <f t="shared" si="2"/>
        <v/>
      </c>
      <c r="K76" s="3"/>
      <c r="L76" s="3"/>
      <c r="M76" s="3"/>
      <c r="N76" s="3"/>
      <c r="O76" s="3"/>
      <c r="P76" s="3"/>
    </row>
    <row r="77" spans="1:16">
      <c r="A77" s="3"/>
      <c r="B77" s="4"/>
      <c r="C77" s="12"/>
      <c r="D77" s="3"/>
      <c r="E77" s="3"/>
      <c r="F77" s="3"/>
      <c r="G77" s="15"/>
      <c r="H77" s="3"/>
      <c r="I77" s="8"/>
      <c r="J77" s="9" t="str">
        <f t="shared" si="2"/>
        <v/>
      </c>
      <c r="K77" s="3"/>
      <c r="L77" s="3"/>
      <c r="M77" s="3"/>
      <c r="N77" s="3"/>
      <c r="O77" s="3"/>
      <c r="P77" s="3"/>
    </row>
    <row r="78" spans="1:16">
      <c r="A78" s="3"/>
      <c r="B78" s="4"/>
      <c r="C78" s="12"/>
      <c r="D78" s="3"/>
      <c r="E78" s="3"/>
      <c r="F78" s="3"/>
      <c r="G78" s="15"/>
      <c r="H78" s="3"/>
      <c r="I78" s="8"/>
      <c r="J78" s="9" t="str">
        <f t="shared" si="2"/>
        <v/>
      </c>
      <c r="K78" s="3"/>
      <c r="L78" s="3"/>
      <c r="M78" s="3"/>
      <c r="N78" s="3"/>
      <c r="O78" s="3"/>
      <c r="P78" s="3"/>
    </row>
    <row r="79" spans="1:16">
      <c r="A79" s="3"/>
      <c r="B79" s="4"/>
      <c r="C79" s="12"/>
      <c r="D79" s="3"/>
      <c r="E79" s="3"/>
      <c r="F79" s="3"/>
      <c r="G79" s="15"/>
      <c r="H79" s="3"/>
      <c r="I79" s="8"/>
      <c r="J79" s="9" t="str">
        <f t="shared" si="2"/>
        <v/>
      </c>
      <c r="K79" s="3"/>
      <c r="L79" s="3"/>
      <c r="M79" s="3"/>
      <c r="N79" s="3"/>
      <c r="O79" s="3"/>
      <c r="P79" s="3"/>
    </row>
    <row r="80" spans="1:16">
      <c r="A80" s="3"/>
      <c r="B80" s="4"/>
      <c r="C80" s="12"/>
      <c r="D80" s="3"/>
      <c r="E80" s="3"/>
      <c r="F80" s="3"/>
      <c r="G80" s="15"/>
      <c r="H80" s="3"/>
      <c r="I80" s="8"/>
      <c r="J80" s="9" t="str">
        <f t="shared" si="2"/>
        <v/>
      </c>
      <c r="K80" s="3"/>
      <c r="L80" s="3"/>
      <c r="M80" s="3"/>
      <c r="N80" s="3"/>
      <c r="O80" s="3"/>
      <c r="P80" s="3"/>
    </row>
    <row r="81" spans="1:16">
      <c r="A81" s="3"/>
      <c r="B81" s="4"/>
      <c r="C81" s="12"/>
      <c r="D81" s="3"/>
      <c r="E81" s="3"/>
      <c r="F81" s="3"/>
      <c r="G81" s="15"/>
      <c r="H81" s="3"/>
      <c r="I81" s="8"/>
      <c r="J81" s="9" t="str">
        <f t="shared" si="2"/>
        <v/>
      </c>
      <c r="K81" s="3"/>
      <c r="L81" s="3"/>
      <c r="M81" s="3"/>
      <c r="N81" s="3"/>
      <c r="O81" s="3"/>
      <c r="P81" s="3"/>
    </row>
    <row r="82" spans="1:16">
      <c r="A82" s="3"/>
      <c r="B82" s="4"/>
      <c r="C82" s="12"/>
      <c r="D82" s="3"/>
      <c r="E82" s="3"/>
      <c r="F82" s="3"/>
      <c r="G82" s="15"/>
      <c r="H82" s="3"/>
      <c r="I82" s="8"/>
      <c r="J82" s="9" t="str">
        <f t="shared" si="2"/>
        <v/>
      </c>
      <c r="K82" s="3"/>
      <c r="L82" s="3"/>
      <c r="M82" s="3"/>
      <c r="N82" s="3"/>
      <c r="O82" s="3"/>
      <c r="P82" s="3"/>
    </row>
    <row r="83" spans="1:16">
      <c r="A83" s="3"/>
      <c r="B83" s="4"/>
      <c r="C83" s="12"/>
      <c r="D83" s="3"/>
      <c r="E83" s="3"/>
      <c r="F83" s="3"/>
      <c r="G83" s="15"/>
      <c r="H83" s="3"/>
      <c r="I83" s="8"/>
      <c r="J83" s="9" t="str">
        <f t="shared" si="2"/>
        <v/>
      </c>
      <c r="K83" s="3"/>
      <c r="L83" s="3"/>
      <c r="M83" s="3"/>
      <c r="N83" s="3"/>
      <c r="O83" s="3"/>
      <c r="P83" s="3"/>
    </row>
    <row r="84" spans="1:16">
      <c r="A84" s="3"/>
      <c r="B84" s="4"/>
      <c r="C84" s="12"/>
      <c r="D84" s="3"/>
      <c r="E84" s="3"/>
      <c r="F84" s="3"/>
      <c r="G84" s="15"/>
      <c r="H84" s="3"/>
      <c r="I84" s="8"/>
      <c r="J84" s="9" t="str">
        <f t="shared" si="2"/>
        <v/>
      </c>
      <c r="K84" s="3"/>
      <c r="L84" s="3"/>
      <c r="M84" s="3"/>
      <c r="N84" s="3"/>
      <c r="O84" s="3"/>
      <c r="P84" s="3"/>
    </row>
    <row r="85" spans="1:16">
      <c r="A85" s="3"/>
      <c r="B85" s="4"/>
      <c r="C85" s="12"/>
      <c r="D85" s="3"/>
      <c r="E85" s="3"/>
      <c r="F85" s="3"/>
      <c r="G85" s="15"/>
      <c r="H85" s="3"/>
      <c r="I85" s="8"/>
      <c r="J85" s="9" t="str">
        <f t="shared" si="2"/>
        <v/>
      </c>
      <c r="K85" s="3"/>
      <c r="L85" s="3"/>
      <c r="M85" s="3"/>
      <c r="N85" s="3"/>
      <c r="O85" s="3"/>
      <c r="P85" s="3"/>
    </row>
    <row r="86" spans="1:16">
      <c r="A86" s="3"/>
      <c r="B86" s="4"/>
      <c r="C86" s="12"/>
      <c r="D86" s="3"/>
      <c r="E86" s="3"/>
      <c r="F86" s="3"/>
      <c r="G86" s="15"/>
      <c r="H86" s="3"/>
      <c r="I86" s="8"/>
      <c r="J86" s="9" t="str">
        <f t="shared" si="2"/>
        <v/>
      </c>
      <c r="K86" s="3"/>
      <c r="L86" s="3"/>
      <c r="M86" s="3"/>
      <c r="N86" s="3"/>
      <c r="O86" s="3"/>
      <c r="P86" s="3"/>
    </row>
    <row r="87" spans="1:16">
      <c r="A87" s="3"/>
      <c r="B87" s="4"/>
      <c r="C87" s="12"/>
      <c r="D87" s="3"/>
      <c r="E87" s="3"/>
      <c r="F87" s="3"/>
      <c r="G87" s="15"/>
      <c r="H87" s="3"/>
      <c r="I87" s="8"/>
      <c r="J87" s="9" t="str">
        <f t="shared" si="2"/>
        <v/>
      </c>
      <c r="K87" s="3"/>
      <c r="L87" s="3"/>
      <c r="M87" s="3"/>
      <c r="N87" s="3"/>
      <c r="O87" s="3"/>
      <c r="P87" s="3"/>
    </row>
    <row r="88" spans="1:16">
      <c r="A88" s="3"/>
      <c r="B88" s="4"/>
      <c r="C88" s="12"/>
      <c r="D88" s="3"/>
      <c r="E88" s="3"/>
      <c r="F88" s="3"/>
      <c r="G88" s="15"/>
      <c r="H88" s="3"/>
      <c r="I88" s="8"/>
      <c r="J88" s="9" t="str">
        <f t="shared" si="2"/>
        <v/>
      </c>
      <c r="K88" s="3"/>
      <c r="L88" s="3"/>
      <c r="M88" s="3"/>
      <c r="N88" s="3"/>
      <c r="O88" s="3"/>
      <c r="P88" s="3"/>
    </row>
    <row r="89" spans="1:16">
      <c r="A89" s="3"/>
      <c r="B89" s="4"/>
      <c r="C89" s="12"/>
      <c r="D89" s="3"/>
      <c r="E89" s="3"/>
      <c r="F89" s="3"/>
      <c r="G89" s="15"/>
      <c r="H89" s="3"/>
      <c r="I89" s="8"/>
      <c r="J89" s="9" t="str">
        <f t="shared" si="2"/>
        <v/>
      </c>
      <c r="K89" s="3"/>
      <c r="L89" s="3"/>
      <c r="M89" s="3"/>
      <c r="N89" s="3"/>
      <c r="O89" s="3"/>
      <c r="P89" s="3"/>
    </row>
    <row r="90" spans="1:16">
      <c r="A90" s="3"/>
      <c r="B90" s="4"/>
      <c r="C90" s="12"/>
      <c r="D90" s="3"/>
      <c r="E90" s="3"/>
      <c r="F90" s="3"/>
      <c r="G90" s="15"/>
      <c r="H90" s="3"/>
      <c r="I90" s="8"/>
      <c r="J90" s="9" t="str">
        <f t="shared" si="2"/>
        <v/>
      </c>
      <c r="K90" s="3"/>
      <c r="L90" s="3"/>
      <c r="M90" s="3"/>
      <c r="N90" s="3"/>
      <c r="O90" s="3"/>
      <c r="P90" s="3"/>
    </row>
    <row r="91" spans="1:16">
      <c r="A91" s="3"/>
      <c r="B91" s="4"/>
      <c r="C91" s="12"/>
      <c r="D91" s="3"/>
      <c r="E91" s="3"/>
      <c r="F91" s="3"/>
      <c r="G91" s="15"/>
      <c r="H91" s="3"/>
      <c r="I91" s="8"/>
      <c r="J91" s="9" t="str">
        <f t="shared" si="2"/>
        <v/>
      </c>
      <c r="K91" s="3"/>
      <c r="L91" s="3"/>
      <c r="M91" s="3"/>
      <c r="N91" s="3"/>
      <c r="O91" s="3"/>
      <c r="P91" s="3"/>
    </row>
    <row r="92" spans="1:16">
      <c r="A92" s="3"/>
      <c r="B92" s="4"/>
      <c r="C92" s="12"/>
      <c r="D92" s="3"/>
      <c r="E92" s="3"/>
      <c r="F92" s="3"/>
      <c r="G92" s="15"/>
      <c r="H92" s="3"/>
      <c r="I92" s="8"/>
      <c r="J92" s="9" t="str">
        <f t="shared" si="2"/>
        <v/>
      </c>
      <c r="K92" s="3"/>
      <c r="L92" s="3"/>
      <c r="M92" s="3"/>
      <c r="N92" s="3"/>
      <c r="O92" s="3"/>
      <c r="P92" s="3"/>
    </row>
    <row r="93" spans="1:16">
      <c r="A93" s="3"/>
      <c r="B93" s="4"/>
      <c r="C93" s="12"/>
      <c r="D93" s="3"/>
      <c r="E93" s="3"/>
      <c r="F93" s="3"/>
      <c r="G93" s="15"/>
      <c r="H93" s="3"/>
      <c r="I93" s="8"/>
      <c r="J93" s="9" t="str">
        <f t="shared" si="2"/>
        <v/>
      </c>
      <c r="K93" s="3"/>
      <c r="L93" s="3"/>
      <c r="M93" s="3"/>
      <c r="N93" s="3"/>
      <c r="O93" s="3"/>
      <c r="P93" s="3"/>
    </row>
    <row r="94" spans="1:16">
      <c r="A94" s="3"/>
      <c r="B94" s="4"/>
      <c r="C94" s="12"/>
      <c r="D94" s="3"/>
      <c r="E94" s="3"/>
      <c r="F94" s="3"/>
      <c r="G94" s="15"/>
      <c r="H94" s="3"/>
      <c r="I94" s="8"/>
      <c r="J94" s="9" t="str">
        <f t="shared" si="2"/>
        <v/>
      </c>
      <c r="K94" s="3"/>
      <c r="L94" s="3"/>
      <c r="M94" s="3"/>
      <c r="N94" s="3"/>
      <c r="O94" s="3"/>
      <c r="P94" s="3"/>
    </row>
    <row r="95" spans="1:16">
      <c r="A95" s="3"/>
      <c r="B95" s="4"/>
      <c r="C95" s="12"/>
      <c r="D95" s="3"/>
      <c r="E95" s="3"/>
      <c r="F95" s="3"/>
      <c r="G95" s="15"/>
      <c r="H95" s="3"/>
      <c r="I95" s="8"/>
      <c r="J95" s="9" t="str">
        <f t="shared" si="2"/>
        <v/>
      </c>
      <c r="K95" s="3"/>
      <c r="L95" s="3"/>
      <c r="M95" s="3"/>
      <c r="N95" s="3"/>
      <c r="O95" s="3"/>
      <c r="P95" s="3"/>
    </row>
    <row r="96" spans="1:16">
      <c r="A96" s="3"/>
      <c r="B96" s="4"/>
      <c r="C96" s="12"/>
      <c r="D96" s="3"/>
      <c r="E96" s="3"/>
      <c r="F96" s="3"/>
      <c r="G96" s="15"/>
      <c r="H96" s="3"/>
      <c r="I96" s="8"/>
      <c r="J96" s="9" t="str">
        <f t="shared" si="2"/>
        <v/>
      </c>
      <c r="K96" s="3"/>
      <c r="L96" s="3"/>
      <c r="M96" s="3"/>
      <c r="N96" s="3"/>
      <c r="O96" s="3"/>
      <c r="P96" s="3"/>
    </row>
    <row r="97" spans="1:16">
      <c r="A97" s="3"/>
      <c r="B97" s="4"/>
      <c r="C97" s="12"/>
      <c r="D97" s="3"/>
      <c r="E97" s="3"/>
      <c r="F97" s="3"/>
      <c r="G97" s="15"/>
      <c r="H97" s="3"/>
      <c r="I97" s="8"/>
      <c r="J97" s="9" t="str">
        <f t="shared" si="2"/>
        <v/>
      </c>
      <c r="K97" s="3"/>
      <c r="L97" s="3"/>
      <c r="M97" s="3"/>
      <c r="N97" s="3"/>
      <c r="O97" s="3"/>
      <c r="P97" s="3"/>
    </row>
    <row r="98" spans="1:16">
      <c r="A98" s="3"/>
      <c r="B98" s="4"/>
      <c r="C98" s="12"/>
      <c r="D98" s="3"/>
      <c r="E98" s="3"/>
      <c r="F98" s="3"/>
      <c r="G98" s="15"/>
      <c r="H98" s="3"/>
      <c r="I98" s="8"/>
      <c r="J98" s="9" t="str">
        <f t="shared" si="2"/>
        <v/>
      </c>
      <c r="K98" s="3"/>
      <c r="L98" s="3"/>
      <c r="M98" s="3"/>
      <c r="N98" s="3"/>
      <c r="O98" s="3"/>
      <c r="P98" s="3"/>
    </row>
    <row r="99" spans="1:16">
      <c r="A99" s="3"/>
      <c r="B99" s="4"/>
      <c r="C99" s="12"/>
      <c r="D99" s="3"/>
      <c r="E99" s="3"/>
      <c r="F99" s="3"/>
      <c r="G99" s="15"/>
      <c r="H99" s="3"/>
      <c r="I99" s="8"/>
      <c r="J99" s="9" t="str">
        <f t="shared" si="2"/>
        <v/>
      </c>
      <c r="K99" s="3"/>
      <c r="L99" s="3"/>
      <c r="M99" s="3"/>
      <c r="N99" s="3"/>
      <c r="O99" s="3"/>
      <c r="P99" s="3"/>
    </row>
    <row r="100" spans="1:16">
      <c r="A100" s="3"/>
      <c r="B100" s="4"/>
      <c r="C100" s="12"/>
      <c r="D100" s="3"/>
      <c r="E100" s="3"/>
      <c r="F100" s="3"/>
      <c r="G100" s="15"/>
      <c r="H100" s="3"/>
      <c r="I100" s="8"/>
      <c r="J100" s="9" t="str">
        <f t="shared" si="2"/>
        <v/>
      </c>
      <c r="K100" s="3"/>
      <c r="L100" s="3"/>
      <c r="M100" s="3"/>
      <c r="N100" s="3"/>
      <c r="O100" s="3"/>
      <c r="P100" s="3"/>
    </row>
    <row r="101" spans="1:16">
      <c r="A101" s="3"/>
      <c r="B101" s="4"/>
      <c r="C101" s="12"/>
      <c r="D101" s="3"/>
      <c r="E101" s="3"/>
      <c r="F101" s="3"/>
      <c r="G101" s="15"/>
      <c r="H101" s="3"/>
      <c r="I101" s="8"/>
      <c r="J101" s="9" t="str">
        <f t="shared" ref="J101:J132" si="3">IF(OR(G101="",I101=""),"",G101*I101)</f>
        <v/>
      </c>
      <c r="K101" s="3"/>
      <c r="L101" s="3"/>
      <c r="M101" s="3"/>
      <c r="N101" s="3"/>
      <c r="O101" s="3"/>
      <c r="P101" s="3"/>
    </row>
    <row r="102" spans="1:16">
      <c r="A102" s="3"/>
      <c r="B102" s="4"/>
      <c r="C102" s="12"/>
      <c r="D102" s="3"/>
      <c r="E102" s="3"/>
      <c r="F102" s="3"/>
      <c r="G102" s="15"/>
      <c r="H102" s="3"/>
      <c r="I102" s="8"/>
      <c r="J102" s="9" t="str">
        <f t="shared" si="3"/>
        <v/>
      </c>
      <c r="K102" s="3"/>
      <c r="L102" s="3"/>
      <c r="M102" s="3"/>
      <c r="N102" s="3"/>
      <c r="O102" s="3"/>
      <c r="P102" s="3"/>
    </row>
    <row r="103" spans="1:16">
      <c r="A103" s="3"/>
      <c r="B103" s="4"/>
      <c r="C103" s="12"/>
      <c r="D103" s="3"/>
      <c r="E103" s="3"/>
      <c r="F103" s="3"/>
      <c r="G103" s="15"/>
      <c r="H103" s="3"/>
      <c r="I103" s="8"/>
      <c r="J103" s="9" t="str">
        <f t="shared" si="3"/>
        <v/>
      </c>
      <c r="K103" s="3"/>
      <c r="L103" s="3"/>
      <c r="M103" s="3"/>
      <c r="N103" s="3"/>
      <c r="O103" s="3"/>
      <c r="P103" s="3"/>
    </row>
    <row r="104" spans="1:16">
      <c r="A104" s="3"/>
      <c r="B104" s="4"/>
      <c r="C104" s="12"/>
      <c r="D104" s="3"/>
      <c r="E104" s="3"/>
      <c r="F104" s="3"/>
      <c r="G104" s="15"/>
      <c r="H104" s="3"/>
      <c r="I104" s="8"/>
      <c r="J104" s="9" t="str">
        <f t="shared" si="3"/>
        <v/>
      </c>
      <c r="K104" s="3"/>
      <c r="L104" s="3"/>
      <c r="M104" s="3"/>
      <c r="N104" s="3"/>
      <c r="O104" s="3"/>
      <c r="P104" s="3"/>
    </row>
  </sheetData>
  <mergeCells count="2">
    <mergeCell ref="A1:P1"/>
    <mergeCell ref="A2:P2"/>
  </mergeCells>
  <conditionalFormatting sqref="M5:M104">
    <cfRule type="expression" dxfId="9" priority="1">
      <formula>M5="Paid"</formula>
    </cfRule>
    <cfRule type="expression" dxfId="8" priority="2">
      <formula>M5="Unpaid"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Lists!$E$10:$E$21</xm:f>
          </x14:formula1>
          <xm:sqref>D5:D104</xm:sqref>
        </x14:dataValidation>
        <x14:dataValidation type="list" xr:uid="{00000000-0002-0000-0300-000001000000}">
          <x14:formula1>
            <xm:f>Lists!$I$10:$I$19</xm:f>
          </x14:formula1>
          <xm:sqref>H5:H104</xm:sqref>
        </x14:dataValidation>
        <x14:dataValidation type="list" xr:uid="{00000000-0002-0000-0300-000002000000}">
          <x14:formula1>
            <xm:f>Lists!$B$10:$B$15</xm:f>
          </x14:formula1>
          <xm:sqref>K5:K104</xm:sqref>
        </x14:dataValidation>
        <x14:dataValidation type="list" xr:uid="{00000000-0002-0000-0300-000003000000}">
          <x14:formula1>
            <xm:f>Lists!$F$10:$F$12</xm:f>
          </x14:formula1>
          <xm:sqref>L5:L104</xm:sqref>
        </x14:dataValidation>
        <x14:dataValidation type="list" xr:uid="{00000000-0002-0000-0300-000004000000}">
          <x14:formula1>
            <xm:f>Lists!$G$10:$G$12</xm:f>
          </x14:formula1>
          <xm:sqref>M5:M104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4"/>
  <sheetViews>
    <sheetView workbookViewId="0"/>
  </sheetViews>
  <sheetFormatPr defaultRowHeight="13.8"/>
  <cols>
    <col min="1" max="1" width="15" customWidth="1"/>
    <col min="2" max="11" width="18" customWidth="1"/>
    <col min="12" max="12" width="28" customWidth="1"/>
  </cols>
  <sheetData>
    <row r="1" spans="1:12" ht="27.15" customHeight="1">
      <c r="A1" s="22" t="s">
        <v>113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0.85" customHeight="1">
      <c r="A2" s="24" t="s">
        <v>114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2" ht="24" customHeight="1">
      <c r="A4" s="1" t="s">
        <v>64</v>
      </c>
      <c r="B4" s="1" t="s">
        <v>115</v>
      </c>
      <c r="C4" s="1" t="s">
        <v>116</v>
      </c>
      <c r="D4" s="1" t="s">
        <v>117</v>
      </c>
      <c r="E4" s="1" t="s">
        <v>118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99</v>
      </c>
    </row>
    <row r="5" spans="1:12">
      <c r="A5" s="17">
        <f>Lists!$B$5</f>
        <v>46204</v>
      </c>
      <c r="B5" s="14">
        <f>0</f>
        <v>0</v>
      </c>
      <c r="C5" s="14">
        <f>SUMIFS(Orders!$M$5:$M$154,Orders!$B$5:$B$154,A5,Orders!$P$5:$P$154,"Cash",Orders!$Q$5:$Q$154,"Paid",Orders!$R$5:$R$154,"Completed")</f>
        <v>0</v>
      </c>
      <c r="D5" s="8"/>
      <c r="E5" s="14">
        <f>SUMIFS(Expenses!$J$5:$J$104,Expenses!$B$5:$B$104,A5,Expenses!$K$5:$K$104,"Cash",Expenses!$M$5:$M$104,"Paid")</f>
        <v>0</v>
      </c>
      <c r="F5" s="8"/>
      <c r="G5" s="9">
        <f t="shared" ref="G5:G36" si="0">C5+IF(D5="",0,D5)</f>
        <v>0</v>
      </c>
      <c r="H5" s="9">
        <f t="shared" ref="H5:H36" si="1">E5+IF(F5="",0,F5)</f>
        <v>0</v>
      </c>
      <c r="I5" s="9">
        <f t="shared" ref="I5:I36" si="2">B5+G5-H5</f>
        <v>0</v>
      </c>
      <c r="J5" s="8"/>
      <c r="K5" s="9" t="str">
        <f t="shared" ref="K5:K36" si="3">IF(J5="","",J5-I5)</f>
        <v/>
      </c>
      <c r="L5" s="3"/>
    </row>
    <row r="6" spans="1:12">
      <c r="A6" s="17">
        <f t="shared" ref="A6:A37" si="4">A5+1</f>
        <v>46205</v>
      </c>
      <c r="B6" s="14">
        <f t="shared" ref="B6:B37" si="5">IF(J5&lt;&gt;"",J5,I5)</f>
        <v>0</v>
      </c>
      <c r="C6" s="14">
        <f>SUMIFS(Orders!$M$5:$M$154,Orders!$B$5:$B$154,A6,Orders!$P$5:$P$154,"Cash",Orders!$Q$5:$Q$154,"Paid",Orders!$R$5:$R$154,"Completed")</f>
        <v>0</v>
      </c>
      <c r="D6" s="8"/>
      <c r="E6" s="14">
        <f>SUMIFS(Expenses!$J$5:$J$104,Expenses!$B$5:$B$104,A6,Expenses!$K$5:$K$104,"Cash",Expenses!$M$5:$M$104,"Paid")</f>
        <v>0</v>
      </c>
      <c r="F6" s="8"/>
      <c r="G6" s="9">
        <f t="shared" si="0"/>
        <v>0</v>
      </c>
      <c r="H6" s="9">
        <f t="shared" si="1"/>
        <v>0</v>
      </c>
      <c r="I6" s="9">
        <f t="shared" si="2"/>
        <v>0</v>
      </c>
      <c r="J6" s="8"/>
      <c r="K6" s="9" t="str">
        <f t="shared" si="3"/>
        <v/>
      </c>
      <c r="L6" s="3"/>
    </row>
    <row r="7" spans="1:12">
      <c r="A7" s="17">
        <f t="shared" si="4"/>
        <v>46206</v>
      </c>
      <c r="B7" s="14">
        <f t="shared" si="5"/>
        <v>0</v>
      </c>
      <c r="C7" s="14">
        <f>SUMIFS(Orders!$M$5:$M$154,Orders!$B$5:$B$154,A7,Orders!$P$5:$P$154,"Cash",Orders!$Q$5:$Q$154,"Paid",Orders!$R$5:$R$154,"Completed")</f>
        <v>0</v>
      </c>
      <c r="D7" s="8"/>
      <c r="E7" s="14">
        <f>SUMIFS(Expenses!$J$5:$J$104,Expenses!$B$5:$B$104,A7,Expenses!$K$5:$K$104,"Cash",Expenses!$M$5:$M$104,"Paid")</f>
        <v>0</v>
      </c>
      <c r="F7" s="8"/>
      <c r="G7" s="9">
        <f t="shared" si="0"/>
        <v>0</v>
      </c>
      <c r="H7" s="9">
        <f t="shared" si="1"/>
        <v>0</v>
      </c>
      <c r="I7" s="9">
        <f t="shared" si="2"/>
        <v>0</v>
      </c>
      <c r="J7" s="8"/>
      <c r="K7" s="9" t="str">
        <f t="shared" si="3"/>
        <v/>
      </c>
      <c r="L7" s="3"/>
    </row>
    <row r="8" spans="1:12">
      <c r="A8" s="17">
        <f t="shared" si="4"/>
        <v>46207</v>
      </c>
      <c r="B8" s="14">
        <f t="shared" si="5"/>
        <v>0</v>
      </c>
      <c r="C8" s="14">
        <f>SUMIFS(Orders!$M$5:$M$154,Orders!$B$5:$B$154,A8,Orders!$P$5:$P$154,"Cash",Orders!$Q$5:$Q$154,"Paid",Orders!$R$5:$R$154,"Completed")</f>
        <v>0</v>
      </c>
      <c r="D8" s="8"/>
      <c r="E8" s="14">
        <f>SUMIFS(Expenses!$J$5:$J$104,Expenses!$B$5:$B$104,A8,Expenses!$K$5:$K$104,"Cash",Expenses!$M$5:$M$104,"Paid")</f>
        <v>0</v>
      </c>
      <c r="F8" s="8"/>
      <c r="G8" s="9">
        <f t="shared" si="0"/>
        <v>0</v>
      </c>
      <c r="H8" s="9">
        <f t="shared" si="1"/>
        <v>0</v>
      </c>
      <c r="I8" s="9">
        <f t="shared" si="2"/>
        <v>0</v>
      </c>
      <c r="J8" s="8"/>
      <c r="K8" s="9" t="str">
        <f t="shared" si="3"/>
        <v/>
      </c>
      <c r="L8" s="3"/>
    </row>
    <row r="9" spans="1:12">
      <c r="A9" s="17">
        <f t="shared" si="4"/>
        <v>46208</v>
      </c>
      <c r="B9" s="14">
        <f t="shared" si="5"/>
        <v>0</v>
      </c>
      <c r="C9" s="14">
        <f>SUMIFS(Orders!$M$5:$M$154,Orders!$B$5:$B$154,A9,Orders!$P$5:$P$154,"Cash",Orders!$Q$5:$Q$154,"Paid",Orders!$R$5:$R$154,"Completed")</f>
        <v>0</v>
      </c>
      <c r="D9" s="8"/>
      <c r="E9" s="14">
        <f>SUMIFS(Expenses!$J$5:$J$104,Expenses!$B$5:$B$104,A9,Expenses!$K$5:$K$104,"Cash",Expenses!$M$5:$M$104,"Paid")</f>
        <v>0</v>
      </c>
      <c r="F9" s="8"/>
      <c r="G9" s="9">
        <f t="shared" si="0"/>
        <v>0</v>
      </c>
      <c r="H9" s="9">
        <f t="shared" si="1"/>
        <v>0</v>
      </c>
      <c r="I9" s="9">
        <f t="shared" si="2"/>
        <v>0</v>
      </c>
      <c r="J9" s="8"/>
      <c r="K9" s="9" t="str">
        <f t="shared" si="3"/>
        <v/>
      </c>
      <c r="L9" s="3"/>
    </row>
    <row r="10" spans="1:12">
      <c r="A10" s="17">
        <f t="shared" si="4"/>
        <v>46209</v>
      </c>
      <c r="B10" s="14">
        <f t="shared" si="5"/>
        <v>0</v>
      </c>
      <c r="C10" s="14">
        <f>SUMIFS(Orders!$M$5:$M$154,Orders!$B$5:$B$154,A10,Orders!$P$5:$P$154,"Cash",Orders!$Q$5:$Q$154,"Paid",Orders!$R$5:$R$154,"Completed")</f>
        <v>0</v>
      </c>
      <c r="D10" s="8"/>
      <c r="E10" s="14">
        <f>SUMIFS(Expenses!$J$5:$J$104,Expenses!$B$5:$B$104,A10,Expenses!$K$5:$K$104,"Cash",Expenses!$M$5:$M$104,"Paid")</f>
        <v>0</v>
      </c>
      <c r="F10" s="8"/>
      <c r="G10" s="9">
        <f t="shared" si="0"/>
        <v>0</v>
      </c>
      <c r="H10" s="9">
        <f t="shared" si="1"/>
        <v>0</v>
      </c>
      <c r="I10" s="9">
        <f t="shared" si="2"/>
        <v>0</v>
      </c>
      <c r="J10" s="8"/>
      <c r="K10" s="9" t="str">
        <f t="shared" si="3"/>
        <v/>
      </c>
      <c r="L10" s="3"/>
    </row>
    <row r="11" spans="1:12">
      <c r="A11" s="17">
        <f t="shared" si="4"/>
        <v>46210</v>
      </c>
      <c r="B11" s="14">
        <f t="shared" si="5"/>
        <v>0</v>
      </c>
      <c r="C11" s="14">
        <f>SUMIFS(Orders!$M$5:$M$154,Orders!$B$5:$B$154,A11,Orders!$P$5:$P$154,"Cash",Orders!$Q$5:$Q$154,"Paid",Orders!$R$5:$R$154,"Completed")</f>
        <v>0</v>
      </c>
      <c r="D11" s="8"/>
      <c r="E11" s="14">
        <f>SUMIFS(Expenses!$J$5:$J$104,Expenses!$B$5:$B$104,A11,Expenses!$K$5:$K$104,"Cash",Expenses!$M$5:$M$104,"Paid")</f>
        <v>0</v>
      </c>
      <c r="F11" s="8"/>
      <c r="G11" s="9">
        <f t="shared" si="0"/>
        <v>0</v>
      </c>
      <c r="H11" s="9">
        <f t="shared" si="1"/>
        <v>0</v>
      </c>
      <c r="I11" s="9">
        <f t="shared" si="2"/>
        <v>0</v>
      </c>
      <c r="J11" s="8"/>
      <c r="K11" s="9" t="str">
        <f t="shared" si="3"/>
        <v/>
      </c>
      <c r="L11" s="3"/>
    </row>
    <row r="12" spans="1:12">
      <c r="A12" s="17">
        <f t="shared" si="4"/>
        <v>46211</v>
      </c>
      <c r="B12" s="14">
        <f t="shared" si="5"/>
        <v>0</v>
      </c>
      <c r="C12" s="14">
        <f>SUMIFS(Orders!$M$5:$M$154,Orders!$B$5:$B$154,A12,Orders!$P$5:$P$154,"Cash",Orders!$Q$5:$Q$154,"Paid",Orders!$R$5:$R$154,"Completed")</f>
        <v>0</v>
      </c>
      <c r="D12" s="8"/>
      <c r="E12" s="14">
        <f>SUMIFS(Expenses!$J$5:$J$104,Expenses!$B$5:$B$104,A12,Expenses!$K$5:$K$104,"Cash",Expenses!$M$5:$M$104,"Paid")</f>
        <v>0</v>
      </c>
      <c r="F12" s="8"/>
      <c r="G12" s="9">
        <f t="shared" si="0"/>
        <v>0</v>
      </c>
      <c r="H12" s="9">
        <f t="shared" si="1"/>
        <v>0</v>
      </c>
      <c r="I12" s="9">
        <f t="shared" si="2"/>
        <v>0</v>
      </c>
      <c r="J12" s="8"/>
      <c r="K12" s="9" t="str">
        <f t="shared" si="3"/>
        <v/>
      </c>
      <c r="L12" s="3"/>
    </row>
    <row r="13" spans="1:12">
      <c r="A13" s="17">
        <f t="shared" si="4"/>
        <v>46212</v>
      </c>
      <c r="B13" s="14">
        <f t="shared" si="5"/>
        <v>0</v>
      </c>
      <c r="C13" s="14">
        <f>SUMIFS(Orders!$M$5:$M$154,Orders!$B$5:$B$154,A13,Orders!$P$5:$P$154,"Cash",Orders!$Q$5:$Q$154,"Paid",Orders!$R$5:$R$154,"Completed")</f>
        <v>0</v>
      </c>
      <c r="D13" s="8"/>
      <c r="E13" s="14">
        <f>SUMIFS(Expenses!$J$5:$J$104,Expenses!$B$5:$B$104,A13,Expenses!$K$5:$K$104,"Cash",Expenses!$M$5:$M$104,"Paid")</f>
        <v>0</v>
      </c>
      <c r="F13" s="8"/>
      <c r="G13" s="9">
        <f t="shared" si="0"/>
        <v>0</v>
      </c>
      <c r="H13" s="9">
        <f t="shared" si="1"/>
        <v>0</v>
      </c>
      <c r="I13" s="9">
        <f t="shared" si="2"/>
        <v>0</v>
      </c>
      <c r="J13" s="8"/>
      <c r="K13" s="9" t="str">
        <f t="shared" si="3"/>
        <v/>
      </c>
      <c r="L13" s="3"/>
    </row>
    <row r="14" spans="1:12">
      <c r="A14" s="17">
        <f t="shared" si="4"/>
        <v>46213</v>
      </c>
      <c r="B14" s="14">
        <f t="shared" si="5"/>
        <v>0</v>
      </c>
      <c r="C14" s="14">
        <f>SUMIFS(Orders!$M$5:$M$154,Orders!$B$5:$B$154,A14,Orders!$P$5:$P$154,"Cash",Orders!$Q$5:$Q$154,"Paid",Orders!$R$5:$R$154,"Completed")</f>
        <v>0</v>
      </c>
      <c r="D14" s="8"/>
      <c r="E14" s="14">
        <f>SUMIFS(Expenses!$J$5:$J$104,Expenses!$B$5:$B$104,A14,Expenses!$K$5:$K$104,"Cash",Expenses!$M$5:$M$104,"Paid")</f>
        <v>0</v>
      </c>
      <c r="F14" s="8"/>
      <c r="G14" s="9">
        <f t="shared" si="0"/>
        <v>0</v>
      </c>
      <c r="H14" s="9">
        <f t="shared" si="1"/>
        <v>0</v>
      </c>
      <c r="I14" s="9">
        <f t="shared" si="2"/>
        <v>0</v>
      </c>
      <c r="J14" s="8"/>
      <c r="K14" s="9" t="str">
        <f t="shared" si="3"/>
        <v/>
      </c>
      <c r="L14" s="3"/>
    </row>
    <row r="15" spans="1:12">
      <c r="A15" s="17">
        <f t="shared" si="4"/>
        <v>46214</v>
      </c>
      <c r="B15" s="14">
        <f t="shared" si="5"/>
        <v>0</v>
      </c>
      <c r="C15" s="14">
        <f>SUMIFS(Orders!$M$5:$M$154,Orders!$B$5:$B$154,A15,Orders!$P$5:$P$154,"Cash",Orders!$Q$5:$Q$154,"Paid",Orders!$R$5:$R$154,"Completed")</f>
        <v>0</v>
      </c>
      <c r="D15" s="8"/>
      <c r="E15" s="14">
        <f>SUMIFS(Expenses!$J$5:$J$104,Expenses!$B$5:$B$104,A15,Expenses!$K$5:$K$104,"Cash",Expenses!$M$5:$M$104,"Paid")</f>
        <v>0</v>
      </c>
      <c r="F15" s="8"/>
      <c r="G15" s="9">
        <f t="shared" si="0"/>
        <v>0</v>
      </c>
      <c r="H15" s="9">
        <f t="shared" si="1"/>
        <v>0</v>
      </c>
      <c r="I15" s="9">
        <f t="shared" si="2"/>
        <v>0</v>
      </c>
      <c r="J15" s="8"/>
      <c r="K15" s="9" t="str">
        <f t="shared" si="3"/>
        <v/>
      </c>
      <c r="L15" s="3"/>
    </row>
    <row r="16" spans="1:12">
      <c r="A16" s="17">
        <f t="shared" si="4"/>
        <v>46215</v>
      </c>
      <c r="B16" s="14">
        <f t="shared" si="5"/>
        <v>0</v>
      </c>
      <c r="C16" s="14">
        <f>SUMIFS(Orders!$M$5:$M$154,Orders!$B$5:$B$154,A16,Orders!$P$5:$P$154,"Cash",Orders!$Q$5:$Q$154,"Paid",Orders!$R$5:$R$154,"Completed")</f>
        <v>0</v>
      </c>
      <c r="D16" s="8"/>
      <c r="E16" s="14">
        <f>SUMIFS(Expenses!$J$5:$J$104,Expenses!$B$5:$B$104,A16,Expenses!$K$5:$K$104,"Cash",Expenses!$M$5:$M$104,"Paid")</f>
        <v>0</v>
      </c>
      <c r="F16" s="8"/>
      <c r="G16" s="9">
        <f t="shared" si="0"/>
        <v>0</v>
      </c>
      <c r="H16" s="9">
        <f t="shared" si="1"/>
        <v>0</v>
      </c>
      <c r="I16" s="9">
        <f t="shared" si="2"/>
        <v>0</v>
      </c>
      <c r="J16" s="8"/>
      <c r="K16" s="9" t="str">
        <f t="shared" si="3"/>
        <v/>
      </c>
      <c r="L16" s="3"/>
    </row>
    <row r="17" spans="1:12">
      <c r="A17" s="17">
        <f t="shared" si="4"/>
        <v>46216</v>
      </c>
      <c r="B17" s="14">
        <f t="shared" si="5"/>
        <v>0</v>
      </c>
      <c r="C17" s="14">
        <f>SUMIFS(Orders!$M$5:$M$154,Orders!$B$5:$B$154,A17,Orders!$P$5:$P$154,"Cash",Orders!$Q$5:$Q$154,"Paid",Orders!$R$5:$R$154,"Completed")</f>
        <v>0</v>
      </c>
      <c r="D17" s="8"/>
      <c r="E17" s="14">
        <f>SUMIFS(Expenses!$J$5:$J$104,Expenses!$B$5:$B$104,A17,Expenses!$K$5:$K$104,"Cash",Expenses!$M$5:$M$104,"Paid")</f>
        <v>0</v>
      </c>
      <c r="F17" s="8"/>
      <c r="G17" s="9">
        <f t="shared" si="0"/>
        <v>0</v>
      </c>
      <c r="H17" s="9">
        <f t="shared" si="1"/>
        <v>0</v>
      </c>
      <c r="I17" s="9">
        <f t="shared" si="2"/>
        <v>0</v>
      </c>
      <c r="J17" s="8"/>
      <c r="K17" s="9" t="str">
        <f t="shared" si="3"/>
        <v/>
      </c>
      <c r="L17" s="3"/>
    </row>
    <row r="18" spans="1:12">
      <c r="A18" s="17">
        <f t="shared" si="4"/>
        <v>46217</v>
      </c>
      <c r="B18" s="14">
        <f t="shared" si="5"/>
        <v>0</v>
      </c>
      <c r="C18" s="14">
        <f>SUMIFS(Orders!$M$5:$M$154,Orders!$B$5:$B$154,A18,Orders!$P$5:$P$154,"Cash",Orders!$Q$5:$Q$154,"Paid",Orders!$R$5:$R$154,"Completed")</f>
        <v>0</v>
      </c>
      <c r="D18" s="8"/>
      <c r="E18" s="14">
        <f>SUMIFS(Expenses!$J$5:$J$104,Expenses!$B$5:$B$104,A18,Expenses!$K$5:$K$104,"Cash",Expenses!$M$5:$M$104,"Paid")</f>
        <v>0</v>
      </c>
      <c r="F18" s="8"/>
      <c r="G18" s="9">
        <f t="shared" si="0"/>
        <v>0</v>
      </c>
      <c r="H18" s="9">
        <f t="shared" si="1"/>
        <v>0</v>
      </c>
      <c r="I18" s="9">
        <f t="shared" si="2"/>
        <v>0</v>
      </c>
      <c r="J18" s="8"/>
      <c r="K18" s="9" t="str">
        <f t="shared" si="3"/>
        <v/>
      </c>
      <c r="L18" s="3"/>
    </row>
    <row r="19" spans="1:12">
      <c r="A19" s="17">
        <f t="shared" si="4"/>
        <v>46218</v>
      </c>
      <c r="B19" s="14">
        <f t="shared" si="5"/>
        <v>0</v>
      </c>
      <c r="C19" s="14">
        <f>SUMIFS(Orders!$M$5:$M$154,Orders!$B$5:$B$154,A19,Orders!$P$5:$P$154,"Cash",Orders!$Q$5:$Q$154,"Paid",Orders!$R$5:$R$154,"Completed")</f>
        <v>0</v>
      </c>
      <c r="D19" s="8"/>
      <c r="E19" s="14">
        <f>SUMIFS(Expenses!$J$5:$J$104,Expenses!$B$5:$B$104,A19,Expenses!$K$5:$K$104,"Cash",Expenses!$M$5:$M$104,"Paid")</f>
        <v>0</v>
      </c>
      <c r="F19" s="8"/>
      <c r="G19" s="9">
        <f t="shared" si="0"/>
        <v>0</v>
      </c>
      <c r="H19" s="9">
        <f t="shared" si="1"/>
        <v>0</v>
      </c>
      <c r="I19" s="9">
        <f t="shared" si="2"/>
        <v>0</v>
      </c>
      <c r="J19" s="8"/>
      <c r="K19" s="9" t="str">
        <f t="shared" si="3"/>
        <v/>
      </c>
      <c r="L19" s="3"/>
    </row>
    <row r="20" spans="1:12">
      <c r="A20" s="17">
        <f t="shared" si="4"/>
        <v>46219</v>
      </c>
      <c r="B20" s="14">
        <f t="shared" si="5"/>
        <v>0</v>
      </c>
      <c r="C20" s="14">
        <f>SUMIFS(Orders!$M$5:$M$154,Orders!$B$5:$B$154,A20,Orders!$P$5:$P$154,"Cash",Orders!$Q$5:$Q$154,"Paid",Orders!$R$5:$R$154,"Completed")</f>
        <v>0</v>
      </c>
      <c r="D20" s="8"/>
      <c r="E20" s="14">
        <f>SUMIFS(Expenses!$J$5:$J$104,Expenses!$B$5:$B$104,A20,Expenses!$K$5:$K$104,"Cash",Expenses!$M$5:$M$104,"Paid")</f>
        <v>0</v>
      </c>
      <c r="F20" s="8"/>
      <c r="G20" s="9">
        <f t="shared" si="0"/>
        <v>0</v>
      </c>
      <c r="H20" s="9">
        <f t="shared" si="1"/>
        <v>0</v>
      </c>
      <c r="I20" s="9">
        <f t="shared" si="2"/>
        <v>0</v>
      </c>
      <c r="J20" s="8"/>
      <c r="K20" s="9" t="str">
        <f t="shared" si="3"/>
        <v/>
      </c>
      <c r="L20" s="3"/>
    </row>
    <row r="21" spans="1:12">
      <c r="A21" s="17">
        <f t="shared" si="4"/>
        <v>46220</v>
      </c>
      <c r="B21" s="14">
        <f t="shared" si="5"/>
        <v>0</v>
      </c>
      <c r="C21" s="14">
        <f>SUMIFS(Orders!$M$5:$M$154,Orders!$B$5:$B$154,A21,Orders!$P$5:$P$154,"Cash",Orders!$Q$5:$Q$154,"Paid",Orders!$R$5:$R$154,"Completed")</f>
        <v>0</v>
      </c>
      <c r="D21" s="8"/>
      <c r="E21" s="14">
        <f>SUMIFS(Expenses!$J$5:$J$104,Expenses!$B$5:$B$104,A21,Expenses!$K$5:$K$104,"Cash",Expenses!$M$5:$M$104,"Paid")</f>
        <v>0</v>
      </c>
      <c r="F21" s="8"/>
      <c r="G21" s="9">
        <f t="shared" si="0"/>
        <v>0</v>
      </c>
      <c r="H21" s="9">
        <f t="shared" si="1"/>
        <v>0</v>
      </c>
      <c r="I21" s="9">
        <f t="shared" si="2"/>
        <v>0</v>
      </c>
      <c r="J21" s="8"/>
      <c r="K21" s="9" t="str">
        <f t="shared" si="3"/>
        <v/>
      </c>
      <c r="L21" s="3"/>
    </row>
    <row r="22" spans="1:12">
      <c r="A22" s="17">
        <f t="shared" si="4"/>
        <v>46221</v>
      </c>
      <c r="B22" s="14">
        <f t="shared" si="5"/>
        <v>0</v>
      </c>
      <c r="C22" s="14">
        <f>SUMIFS(Orders!$M$5:$M$154,Orders!$B$5:$B$154,A22,Orders!$P$5:$P$154,"Cash",Orders!$Q$5:$Q$154,"Paid",Orders!$R$5:$R$154,"Completed")</f>
        <v>0</v>
      </c>
      <c r="D22" s="8"/>
      <c r="E22" s="14">
        <f>SUMIFS(Expenses!$J$5:$J$104,Expenses!$B$5:$B$104,A22,Expenses!$K$5:$K$104,"Cash",Expenses!$M$5:$M$104,"Paid")</f>
        <v>0</v>
      </c>
      <c r="F22" s="8"/>
      <c r="G22" s="9">
        <f t="shared" si="0"/>
        <v>0</v>
      </c>
      <c r="H22" s="9">
        <f t="shared" si="1"/>
        <v>0</v>
      </c>
      <c r="I22" s="9">
        <f t="shared" si="2"/>
        <v>0</v>
      </c>
      <c r="J22" s="8"/>
      <c r="K22" s="9" t="str">
        <f t="shared" si="3"/>
        <v/>
      </c>
      <c r="L22" s="3"/>
    </row>
    <row r="23" spans="1:12">
      <c r="A23" s="17">
        <f t="shared" si="4"/>
        <v>46222</v>
      </c>
      <c r="B23" s="14">
        <f t="shared" si="5"/>
        <v>0</v>
      </c>
      <c r="C23" s="14">
        <f>SUMIFS(Orders!$M$5:$M$154,Orders!$B$5:$B$154,A23,Orders!$P$5:$P$154,"Cash",Orders!$Q$5:$Q$154,"Paid",Orders!$R$5:$R$154,"Completed")</f>
        <v>0</v>
      </c>
      <c r="D23" s="8"/>
      <c r="E23" s="14">
        <f>SUMIFS(Expenses!$J$5:$J$104,Expenses!$B$5:$B$104,A23,Expenses!$K$5:$K$104,"Cash",Expenses!$M$5:$M$104,"Paid")</f>
        <v>0</v>
      </c>
      <c r="F23" s="8"/>
      <c r="G23" s="9">
        <f t="shared" si="0"/>
        <v>0</v>
      </c>
      <c r="H23" s="9">
        <f t="shared" si="1"/>
        <v>0</v>
      </c>
      <c r="I23" s="9">
        <f t="shared" si="2"/>
        <v>0</v>
      </c>
      <c r="J23" s="8"/>
      <c r="K23" s="9" t="str">
        <f t="shared" si="3"/>
        <v/>
      </c>
      <c r="L23" s="3"/>
    </row>
    <row r="24" spans="1:12">
      <c r="A24" s="17">
        <f t="shared" si="4"/>
        <v>46223</v>
      </c>
      <c r="B24" s="14">
        <f t="shared" si="5"/>
        <v>0</v>
      </c>
      <c r="C24" s="14">
        <f>SUMIFS(Orders!$M$5:$M$154,Orders!$B$5:$B$154,A24,Orders!$P$5:$P$154,"Cash",Orders!$Q$5:$Q$154,"Paid",Orders!$R$5:$R$154,"Completed")</f>
        <v>0</v>
      </c>
      <c r="D24" s="8"/>
      <c r="E24" s="14">
        <f>SUMIFS(Expenses!$J$5:$J$104,Expenses!$B$5:$B$104,A24,Expenses!$K$5:$K$104,"Cash",Expenses!$M$5:$M$104,"Paid")</f>
        <v>0</v>
      </c>
      <c r="F24" s="8"/>
      <c r="G24" s="9">
        <f t="shared" si="0"/>
        <v>0</v>
      </c>
      <c r="H24" s="9">
        <f t="shared" si="1"/>
        <v>0</v>
      </c>
      <c r="I24" s="9">
        <f t="shared" si="2"/>
        <v>0</v>
      </c>
      <c r="J24" s="8"/>
      <c r="K24" s="9" t="str">
        <f t="shared" si="3"/>
        <v/>
      </c>
      <c r="L24" s="3"/>
    </row>
    <row r="25" spans="1:12">
      <c r="A25" s="17">
        <f t="shared" si="4"/>
        <v>46224</v>
      </c>
      <c r="B25" s="14">
        <f t="shared" si="5"/>
        <v>0</v>
      </c>
      <c r="C25" s="14">
        <f>SUMIFS(Orders!$M$5:$M$154,Orders!$B$5:$B$154,A25,Orders!$P$5:$P$154,"Cash",Orders!$Q$5:$Q$154,"Paid",Orders!$R$5:$R$154,"Completed")</f>
        <v>0</v>
      </c>
      <c r="D25" s="8"/>
      <c r="E25" s="14">
        <f>SUMIFS(Expenses!$J$5:$J$104,Expenses!$B$5:$B$104,A25,Expenses!$K$5:$K$104,"Cash",Expenses!$M$5:$M$104,"Paid")</f>
        <v>0</v>
      </c>
      <c r="F25" s="8"/>
      <c r="G25" s="9">
        <f t="shared" si="0"/>
        <v>0</v>
      </c>
      <c r="H25" s="9">
        <f t="shared" si="1"/>
        <v>0</v>
      </c>
      <c r="I25" s="9">
        <f t="shared" si="2"/>
        <v>0</v>
      </c>
      <c r="J25" s="8"/>
      <c r="K25" s="9" t="str">
        <f t="shared" si="3"/>
        <v/>
      </c>
      <c r="L25" s="3"/>
    </row>
    <row r="26" spans="1:12">
      <c r="A26" s="17">
        <f t="shared" si="4"/>
        <v>46225</v>
      </c>
      <c r="B26" s="14">
        <f t="shared" si="5"/>
        <v>0</v>
      </c>
      <c r="C26" s="14">
        <f>SUMIFS(Orders!$M$5:$M$154,Orders!$B$5:$B$154,A26,Orders!$P$5:$P$154,"Cash",Orders!$Q$5:$Q$154,"Paid",Orders!$R$5:$R$154,"Completed")</f>
        <v>0</v>
      </c>
      <c r="D26" s="8"/>
      <c r="E26" s="14">
        <f>SUMIFS(Expenses!$J$5:$J$104,Expenses!$B$5:$B$104,A26,Expenses!$K$5:$K$104,"Cash",Expenses!$M$5:$M$104,"Paid")</f>
        <v>0</v>
      </c>
      <c r="F26" s="8"/>
      <c r="G26" s="9">
        <f t="shared" si="0"/>
        <v>0</v>
      </c>
      <c r="H26" s="9">
        <f t="shared" si="1"/>
        <v>0</v>
      </c>
      <c r="I26" s="9">
        <f t="shared" si="2"/>
        <v>0</v>
      </c>
      <c r="J26" s="8"/>
      <c r="K26" s="9" t="str">
        <f t="shared" si="3"/>
        <v/>
      </c>
      <c r="L26" s="3"/>
    </row>
    <row r="27" spans="1:12">
      <c r="A27" s="17">
        <f t="shared" si="4"/>
        <v>46226</v>
      </c>
      <c r="B27" s="14">
        <f t="shared" si="5"/>
        <v>0</v>
      </c>
      <c r="C27" s="14">
        <f>SUMIFS(Orders!$M$5:$M$154,Orders!$B$5:$B$154,A27,Orders!$P$5:$P$154,"Cash",Orders!$Q$5:$Q$154,"Paid",Orders!$R$5:$R$154,"Completed")</f>
        <v>0</v>
      </c>
      <c r="D27" s="8"/>
      <c r="E27" s="14">
        <f>SUMIFS(Expenses!$J$5:$J$104,Expenses!$B$5:$B$104,A27,Expenses!$K$5:$K$104,"Cash",Expenses!$M$5:$M$104,"Paid")</f>
        <v>0</v>
      </c>
      <c r="F27" s="8"/>
      <c r="G27" s="9">
        <f t="shared" si="0"/>
        <v>0</v>
      </c>
      <c r="H27" s="9">
        <f t="shared" si="1"/>
        <v>0</v>
      </c>
      <c r="I27" s="9">
        <f t="shared" si="2"/>
        <v>0</v>
      </c>
      <c r="J27" s="8"/>
      <c r="K27" s="9" t="str">
        <f t="shared" si="3"/>
        <v/>
      </c>
      <c r="L27" s="3"/>
    </row>
    <row r="28" spans="1:12">
      <c r="A28" s="17">
        <f t="shared" si="4"/>
        <v>46227</v>
      </c>
      <c r="B28" s="14">
        <f t="shared" si="5"/>
        <v>0</v>
      </c>
      <c r="C28" s="14">
        <f>SUMIFS(Orders!$M$5:$M$154,Orders!$B$5:$B$154,A28,Orders!$P$5:$P$154,"Cash",Orders!$Q$5:$Q$154,"Paid",Orders!$R$5:$R$154,"Completed")</f>
        <v>0</v>
      </c>
      <c r="D28" s="8"/>
      <c r="E28" s="14">
        <f>SUMIFS(Expenses!$J$5:$J$104,Expenses!$B$5:$B$104,A28,Expenses!$K$5:$K$104,"Cash",Expenses!$M$5:$M$104,"Paid")</f>
        <v>0</v>
      </c>
      <c r="F28" s="8"/>
      <c r="G28" s="9">
        <f t="shared" si="0"/>
        <v>0</v>
      </c>
      <c r="H28" s="9">
        <f t="shared" si="1"/>
        <v>0</v>
      </c>
      <c r="I28" s="9">
        <f t="shared" si="2"/>
        <v>0</v>
      </c>
      <c r="J28" s="8"/>
      <c r="K28" s="9" t="str">
        <f t="shared" si="3"/>
        <v/>
      </c>
      <c r="L28" s="3"/>
    </row>
    <row r="29" spans="1:12">
      <c r="A29" s="17">
        <f t="shared" si="4"/>
        <v>46228</v>
      </c>
      <c r="B29" s="14">
        <f t="shared" si="5"/>
        <v>0</v>
      </c>
      <c r="C29" s="14">
        <f>SUMIFS(Orders!$M$5:$M$154,Orders!$B$5:$B$154,A29,Orders!$P$5:$P$154,"Cash",Orders!$Q$5:$Q$154,"Paid",Orders!$R$5:$R$154,"Completed")</f>
        <v>0</v>
      </c>
      <c r="D29" s="8"/>
      <c r="E29" s="14">
        <f>SUMIFS(Expenses!$J$5:$J$104,Expenses!$B$5:$B$104,A29,Expenses!$K$5:$K$104,"Cash",Expenses!$M$5:$M$104,"Paid")</f>
        <v>0</v>
      </c>
      <c r="F29" s="8"/>
      <c r="G29" s="9">
        <f t="shared" si="0"/>
        <v>0</v>
      </c>
      <c r="H29" s="9">
        <f t="shared" si="1"/>
        <v>0</v>
      </c>
      <c r="I29" s="9">
        <f t="shared" si="2"/>
        <v>0</v>
      </c>
      <c r="J29" s="8"/>
      <c r="K29" s="9" t="str">
        <f t="shared" si="3"/>
        <v/>
      </c>
      <c r="L29" s="3"/>
    </row>
    <row r="30" spans="1:12">
      <c r="A30" s="17">
        <f t="shared" si="4"/>
        <v>46229</v>
      </c>
      <c r="B30" s="14">
        <f t="shared" si="5"/>
        <v>0</v>
      </c>
      <c r="C30" s="14">
        <f>SUMIFS(Orders!$M$5:$M$154,Orders!$B$5:$B$154,A30,Orders!$P$5:$P$154,"Cash",Orders!$Q$5:$Q$154,"Paid",Orders!$R$5:$R$154,"Completed")</f>
        <v>0</v>
      </c>
      <c r="D30" s="8"/>
      <c r="E30" s="14">
        <f>SUMIFS(Expenses!$J$5:$J$104,Expenses!$B$5:$B$104,A30,Expenses!$K$5:$K$104,"Cash",Expenses!$M$5:$M$104,"Paid")</f>
        <v>0</v>
      </c>
      <c r="F30" s="8"/>
      <c r="G30" s="9">
        <f t="shared" si="0"/>
        <v>0</v>
      </c>
      <c r="H30" s="9">
        <f t="shared" si="1"/>
        <v>0</v>
      </c>
      <c r="I30" s="9">
        <f t="shared" si="2"/>
        <v>0</v>
      </c>
      <c r="J30" s="8"/>
      <c r="K30" s="9" t="str">
        <f t="shared" si="3"/>
        <v/>
      </c>
      <c r="L30" s="3"/>
    </row>
    <row r="31" spans="1:12">
      <c r="A31" s="17">
        <f t="shared" si="4"/>
        <v>46230</v>
      </c>
      <c r="B31" s="14">
        <f t="shared" si="5"/>
        <v>0</v>
      </c>
      <c r="C31" s="14">
        <f>SUMIFS(Orders!$M$5:$M$154,Orders!$B$5:$B$154,A31,Orders!$P$5:$P$154,"Cash",Orders!$Q$5:$Q$154,"Paid",Orders!$R$5:$R$154,"Completed")</f>
        <v>0</v>
      </c>
      <c r="D31" s="8"/>
      <c r="E31" s="14">
        <f>SUMIFS(Expenses!$J$5:$J$104,Expenses!$B$5:$B$104,A31,Expenses!$K$5:$K$104,"Cash",Expenses!$M$5:$M$104,"Paid")</f>
        <v>0</v>
      </c>
      <c r="F31" s="8"/>
      <c r="G31" s="9">
        <f t="shared" si="0"/>
        <v>0</v>
      </c>
      <c r="H31" s="9">
        <f t="shared" si="1"/>
        <v>0</v>
      </c>
      <c r="I31" s="9">
        <f t="shared" si="2"/>
        <v>0</v>
      </c>
      <c r="J31" s="8"/>
      <c r="K31" s="9" t="str">
        <f t="shared" si="3"/>
        <v/>
      </c>
      <c r="L31" s="3"/>
    </row>
    <row r="32" spans="1:12">
      <c r="A32" s="17">
        <f t="shared" si="4"/>
        <v>46231</v>
      </c>
      <c r="B32" s="14">
        <f t="shared" si="5"/>
        <v>0</v>
      </c>
      <c r="C32" s="14">
        <f>SUMIFS(Orders!$M$5:$M$154,Orders!$B$5:$B$154,A32,Orders!$P$5:$P$154,"Cash",Orders!$Q$5:$Q$154,"Paid",Orders!$R$5:$R$154,"Completed")</f>
        <v>0</v>
      </c>
      <c r="D32" s="8"/>
      <c r="E32" s="14">
        <f>SUMIFS(Expenses!$J$5:$J$104,Expenses!$B$5:$B$104,A32,Expenses!$K$5:$K$104,"Cash",Expenses!$M$5:$M$104,"Paid")</f>
        <v>0</v>
      </c>
      <c r="F32" s="8"/>
      <c r="G32" s="9">
        <f t="shared" si="0"/>
        <v>0</v>
      </c>
      <c r="H32" s="9">
        <f t="shared" si="1"/>
        <v>0</v>
      </c>
      <c r="I32" s="9">
        <f t="shared" si="2"/>
        <v>0</v>
      </c>
      <c r="J32" s="8"/>
      <c r="K32" s="9" t="str">
        <f t="shared" si="3"/>
        <v/>
      </c>
      <c r="L32" s="3"/>
    </row>
    <row r="33" spans="1:12">
      <c r="A33" s="17">
        <f t="shared" si="4"/>
        <v>46232</v>
      </c>
      <c r="B33" s="14">
        <f t="shared" si="5"/>
        <v>0</v>
      </c>
      <c r="C33" s="14">
        <f>SUMIFS(Orders!$M$5:$M$154,Orders!$B$5:$B$154,A33,Orders!$P$5:$P$154,"Cash",Orders!$Q$5:$Q$154,"Paid",Orders!$R$5:$R$154,"Completed")</f>
        <v>0</v>
      </c>
      <c r="D33" s="8"/>
      <c r="E33" s="14">
        <f>SUMIFS(Expenses!$J$5:$J$104,Expenses!$B$5:$B$104,A33,Expenses!$K$5:$K$104,"Cash",Expenses!$M$5:$M$104,"Paid")</f>
        <v>0</v>
      </c>
      <c r="F33" s="8"/>
      <c r="G33" s="9">
        <f t="shared" si="0"/>
        <v>0</v>
      </c>
      <c r="H33" s="9">
        <f t="shared" si="1"/>
        <v>0</v>
      </c>
      <c r="I33" s="9">
        <f t="shared" si="2"/>
        <v>0</v>
      </c>
      <c r="J33" s="8"/>
      <c r="K33" s="9" t="str">
        <f t="shared" si="3"/>
        <v/>
      </c>
      <c r="L33" s="3"/>
    </row>
    <row r="34" spans="1:12">
      <c r="A34" s="17">
        <f t="shared" si="4"/>
        <v>46233</v>
      </c>
      <c r="B34" s="14">
        <f t="shared" si="5"/>
        <v>0</v>
      </c>
      <c r="C34" s="14">
        <f>SUMIFS(Orders!$M$5:$M$154,Orders!$B$5:$B$154,A34,Orders!$P$5:$P$154,"Cash",Orders!$Q$5:$Q$154,"Paid",Orders!$R$5:$R$154,"Completed")</f>
        <v>0</v>
      </c>
      <c r="D34" s="8"/>
      <c r="E34" s="14">
        <f>SUMIFS(Expenses!$J$5:$J$104,Expenses!$B$5:$B$104,A34,Expenses!$K$5:$K$104,"Cash",Expenses!$M$5:$M$104,"Paid")</f>
        <v>0</v>
      </c>
      <c r="F34" s="8"/>
      <c r="G34" s="9">
        <f t="shared" si="0"/>
        <v>0</v>
      </c>
      <c r="H34" s="9">
        <f t="shared" si="1"/>
        <v>0</v>
      </c>
      <c r="I34" s="9">
        <f t="shared" si="2"/>
        <v>0</v>
      </c>
      <c r="J34" s="8"/>
      <c r="K34" s="9" t="str">
        <f t="shared" si="3"/>
        <v/>
      </c>
      <c r="L34" s="3"/>
    </row>
    <row r="35" spans="1:12">
      <c r="A35" s="17">
        <f t="shared" si="4"/>
        <v>46234</v>
      </c>
      <c r="B35" s="14">
        <f t="shared" si="5"/>
        <v>0</v>
      </c>
      <c r="C35" s="14">
        <f>SUMIFS(Orders!$M$5:$M$154,Orders!$B$5:$B$154,A35,Orders!$P$5:$P$154,"Cash",Orders!$Q$5:$Q$154,"Paid",Orders!$R$5:$R$154,"Completed")</f>
        <v>0</v>
      </c>
      <c r="D35" s="8"/>
      <c r="E35" s="14">
        <f>SUMIFS(Expenses!$J$5:$J$104,Expenses!$B$5:$B$104,A35,Expenses!$K$5:$K$104,"Cash",Expenses!$M$5:$M$104,"Paid")</f>
        <v>0</v>
      </c>
      <c r="F35" s="8"/>
      <c r="G35" s="9">
        <f t="shared" si="0"/>
        <v>0</v>
      </c>
      <c r="H35" s="9">
        <f t="shared" si="1"/>
        <v>0</v>
      </c>
      <c r="I35" s="9">
        <f t="shared" si="2"/>
        <v>0</v>
      </c>
      <c r="J35" s="8"/>
      <c r="K35" s="9" t="str">
        <f t="shared" si="3"/>
        <v/>
      </c>
      <c r="L35" s="3"/>
    </row>
    <row r="36" spans="1:12">
      <c r="A36" s="17">
        <f t="shared" si="4"/>
        <v>46235</v>
      </c>
      <c r="B36" s="14">
        <f t="shared" si="5"/>
        <v>0</v>
      </c>
      <c r="C36" s="14">
        <f>SUMIFS(Orders!$M$5:$M$154,Orders!$B$5:$B$154,A36,Orders!$P$5:$P$154,"Cash",Orders!$Q$5:$Q$154,"Paid",Orders!$R$5:$R$154,"Completed")</f>
        <v>0</v>
      </c>
      <c r="D36" s="8"/>
      <c r="E36" s="14">
        <f>SUMIFS(Expenses!$J$5:$J$104,Expenses!$B$5:$B$104,A36,Expenses!$K$5:$K$104,"Cash",Expenses!$M$5:$M$104,"Paid")</f>
        <v>0</v>
      </c>
      <c r="F36" s="8"/>
      <c r="G36" s="9">
        <f t="shared" si="0"/>
        <v>0</v>
      </c>
      <c r="H36" s="9">
        <f t="shared" si="1"/>
        <v>0</v>
      </c>
      <c r="I36" s="9">
        <f t="shared" si="2"/>
        <v>0</v>
      </c>
      <c r="J36" s="8"/>
      <c r="K36" s="9" t="str">
        <f t="shared" si="3"/>
        <v/>
      </c>
      <c r="L36" s="3"/>
    </row>
    <row r="37" spans="1:12">
      <c r="A37" s="17">
        <f t="shared" si="4"/>
        <v>46236</v>
      </c>
      <c r="B37" s="14">
        <f t="shared" si="5"/>
        <v>0</v>
      </c>
      <c r="C37" s="14">
        <f>SUMIFS(Orders!$M$5:$M$154,Orders!$B$5:$B$154,A37,Orders!$P$5:$P$154,"Cash",Orders!$Q$5:$Q$154,"Paid",Orders!$R$5:$R$154,"Completed")</f>
        <v>0</v>
      </c>
      <c r="D37" s="8"/>
      <c r="E37" s="14">
        <f>SUMIFS(Expenses!$J$5:$J$104,Expenses!$B$5:$B$104,A37,Expenses!$K$5:$K$104,"Cash",Expenses!$M$5:$M$104,"Paid")</f>
        <v>0</v>
      </c>
      <c r="F37" s="8"/>
      <c r="G37" s="9">
        <f t="shared" ref="G37:G68" si="6">C37+IF(D37="",0,D37)</f>
        <v>0</v>
      </c>
      <c r="H37" s="9">
        <f t="shared" ref="H37:H68" si="7">E37+IF(F37="",0,F37)</f>
        <v>0</v>
      </c>
      <c r="I37" s="9">
        <f t="shared" ref="I37:I68" si="8">B37+G37-H37</f>
        <v>0</v>
      </c>
      <c r="J37" s="8"/>
      <c r="K37" s="9" t="str">
        <f t="shared" ref="K37:K68" si="9">IF(J37="","",J37-I37)</f>
        <v/>
      </c>
      <c r="L37" s="3"/>
    </row>
    <row r="38" spans="1:12">
      <c r="A38" s="17">
        <f t="shared" ref="A38:A69" si="10">A37+1</f>
        <v>46237</v>
      </c>
      <c r="B38" s="14">
        <f t="shared" ref="B38:B69" si="11">IF(J37&lt;&gt;"",J37,I37)</f>
        <v>0</v>
      </c>
      <c r="C38" s="14">
        <f>SUMIFS(Orders!$M$5:$M$154,Orders!$B$5:$B$154,A38,Orders!$P$5:$P$154,"Cash",Orders!$Q$5:$Q$154,"Paid",Orders!$R$5:$R$154,"Completed")</f>
        <v>0</v>
      </c>
      <c r="D38" s="8"/>
      <c r="E38" s="14">
        <f>SUMIFS(Expenses!$J$5:$J$104,Expenses!$B$5:$B$104,A38,Expenses!$K$5:$K$104,"Cash",Expenses!$M$5:$M$104,"Paid")</f>
        <v>0</v>
      </c>
      <c r="F38" s="8"/>
      <c r="G38" s="9">
        <f t="shared" si="6"/>
        <v>0</v>
      </c>
      <c r="H38" s="9">
        <f t="shared" si="7"/>
        <v>0</v>
      </c>
      <c r="I38" s="9">
        <f t="shared" si="8"/>
        <v>0</v>
      </c>
      <c r="J38" s="8"/>
      <c r="K38" s="9" t="str">
        <f t="shared" si="9"/>
        <v/>
      </c>
      <c r="L38" s="3"/>
    </row>
    <row r="39" spans="1:12">
      <c r="A39" s="17">
        <f t="shared" si="10"/>
        <v>46238</v>
      </c>
      <c r="B39" s="14">
        <f t="shared" si="11"/>
        <v>0</v>
      </c>
      <c r="C39" s="14">
        <f>SUMIFS(Orders!$M$5:$M$154,Orders!$B$5:$B$154,A39,Orders!$P$5:$P$154,"Cash",Orders!$Q$5:$Q$154,"Paid",Orders!$R$5:$R$154,"Completed")</f>
        <v>0</v>
      </c>
      <c r="D39" s="8"/>
      <c r="E39" s="14">
        <f>SUMIFS(Expenses!$J$5:$J$104,Expenses!$B$5:$B$104,A39,Expenses!$K$5:$K$104,"Cash",Expenses!$M$5:$M$104,"Paid")</f>
        <v>0</v>
      </c>
      <c r="F39" s="8"/>
      <c r="G39" s="9">
        <f t="shared" si="6"/>
        <v>0</v>
      </c>
      <c r="H39" s="9">
        <f t="shared" si="7"/>
        <v>0</v>
      </c>
      <c r="I39" s="9">
        <f t="shared" si="8"/>
        <v>0</v>
      </c>
      <c r="J39" s="8"/>
      <c r="K39" s="9" t="str">
        <f t="shared" si="9"/>
        <v/>
      </c>
      <c r="L39" s="3"/>
    </row>
    <row r="40" spans="1:12">
      <c r="A40" s="17">
        <f t="shared" si="10"/>
        <v>46239</v>
      </c>
      <c r="B40" s="14">
        <f t="shared" si="11"/>
        <v>0</v>
      </c>
      <c r="C40" s="14">
        <f>SUMIFS(Orders!$M$5:$M$154,Orders!$B$5:$B$154,A40,Orders!$P$5:$P$154,"Cash",Orders!$Q$5:$Q$154,"Paid",Orders!$R$5:$R$154,"Completed")</f>
        <v>0</v>
      </c>
      <c r="D40" s="8"/>
      <c r="E40" s="14">
        <f>SUMIFS(Expenses!$J$5:$J$104,Expenses!$B$5:$B$104,A40,Expenses!$K$5:$K$104,"Cash",Expenses!$M$5:$M$104,"Paid")</f>
        <v>0</v>
      </c>
      <c r="F40" s="8"/>
      <c r="G40" s="9">
        <f t="shared" si="6"/>
        <v>0</v>
      </c>
      <c r="H40" s="9">
        <f t="shared" si="7"/>
        <v>0</v>
      </c>
      <c r="I40" s="9">
        <f t="shared" si="8"/>
        <v>0</v>
      </c>
      <c r="J40" s="8"/>
      <c r="K40" s="9" t="str">
        <f t="shared" si="9"/>
        <v/>
      </c>
      <c r="L40" s="3"/>
    </row>
    <row r="41" spans="1:12">
      <c r="A41" s="17">
        <f t="shared" si="10"/>
        <v>46240</v>
      </c>
      <c r="B41" s="14">
        <f t="shared" si="11"/>
        <v>0</v>
      </c>
      <c r="C41" s="14">
        <f>SUMIFS(Orders!$M$5:$M$154,Orders!$B$5:$B$154,A41,Orders!$P$5:$P$154,"Cash",Orders!$Q$5:$Q$154,"Paid",Orders!$R$5:$R$154,"Completed")</f>
        <v>0</v>
      </c>
      <c r="D41" s="8"/>
      <c r="E41" s="14">
        <f>SUMIFS(Expenses!$J$5:$J$104,Expenses!$B$5:$B$104,A41,Expenses!$K$5:$K$104,"Cash",Expenses!$M$5:$M$104,"Paid")</f>
        <v>0</v>
      </c>
      <c r="F41" s="8"/>
      <c r="G41" s="9">
        <f t="shared" si="6"/>
        <v>0</v>
      </c>
      <c r="H41" s="9">
        <f t="shared" si="7"/>
        <v>0</v>
      </c>
      <c r="I41" s="9">
        <f t="shared" si="8"/>
        <v>0</v>
      </c>
      <c r="J41" s="8"/>
      <c r="K41" s="9" t="str">
        <f t="shared" si="9"/>
        <v/>
      </c>
      <c r="L41" s="3"/>
    </row>
    <row r="42" spans="1:12">
      <c r="A42" s="17">
        <f t="shared" si="10"/>
        <v>46241</v>
      </c>
      <c r="B42" s="14">
        <f t="shared" si="11"/>
        <v>0</v>
      </c>
      <c r="C42" s="14">
        <f>SUMIFS(Orders!$M$5:$M$154,Orders!$B$5:$B$154,A42,Orders!$P$5:$P$154,"Cash",Orders!$Q$5:$Q$154,"Paid",Orders!$R$5:$R$154,"Completed")</f>
        <v>0</v>
      </c>
      <c r="D42" s="8"/>
      <c r="E42" s="14">
        <f>SUMIFS(Expenses!$J$5:$J$104,Expenses!$B$5:$B$104,A42,Expenses!$K$5:$K$104,"Cash",Expenses!$M$5:$M$104,"Paid")</f>
        <v>0</v>
      </c>
      <c r="F42" s="8"/>
      <c r="G42" s="9">
        <f t="shared" si="6"/>
        <v>0</v>
      </c>
      <c r="H42" s="9">
        <f t="shared" si="7"/>
        <v>0</v>
      </c>
      <c r="I42" s="9">
        <f t="shared" si="8"/>
        <v>0</v>
      </c>
      <c r="J42" s="8"/>
      <c r="K42" s="9" t="str">
        <f t="shared" si="9"/>
        <v/>
      </c>
      <c r="L42" s="3"/>
    </row>
    <row r="43" spans="1:12">
      <c r="A43" s="17">
        <f t="shared" si="10"/>
        <v>46242</v>
      </c>
      <c r="B43" s="14">
        <f t="shared" si="11"/>
        <v>0</v>
      </c>
      <c r="C43" s="14">
        <f>SUMIFS(Orders!$M$5:$M$154,Orders!$B$5:$B$154,A43,Orders!$P$5:$P$154,"Cash",Orders!$Q$5:$Q$154,"Paid",Orders!$R$5:$R$154,"Completed")</f>
        <v>0</v>
      </c>
      <c r="D43" s="8"/>
      <c r="E43" s="14">
        <f>SUMIFS(Expenses!$J$5:$J$104,Expenses!$B$5:$B$104,A43,Expenses!$K$5:$K$104,"Cash",Expenses!$M$5:$M$104,"Paid")</f>
        <v>0</v>
      </c>
      <c r="F43" s="8"/>
      <c r="G43" s="9">
        <f t="shared" si="6"/>
        <v>0</v>
      </c>
      <c r="H43" s="9">
        <f t="shared" si="7"/>
        <v>0</v>
      </c>
      <c r="I43" s="9">
        <f t="shared" si="8"/>
        <v>0</v>
      </c>
      <c r="J43" s="8"/>
      <c r="K43" s="9" t="str">
        <f t="shared" si="9"/>
        <v/>
      </c>
      <c r="L43" s="3"/>
    </row>
    <row r="44" spans="1:12">
      <c r="A44" s="17">
        <f t="shared" si="10"/>
        <v>46243</v>
      </c>
      <c r="B44" s="14">
        <f t="shared" si="11"/>
        <v>0</v>
      </c>
      <c r="C44" s="14">
        <f>SUMIFS(Orders!$M$5:$M$154,Orders!$B$5:$B$154,A44,Orders!$P$5:$P$154,"Cash",Orders!$Q$5:$Q$154,"Paid",Orders!$R$5:$R$154,"Completed")</f>
        <v>0</v>
      </c>
      <c r="D44" s="8"/>
      <c r="E44" s="14">
        <f>SUMIFS(Expenses!$J$5:$J$104,Expenses!$B$5:$B$104,A44,Expenses!$K$5:$K$104,"Cash",Expenses!$M$5:$M$104,"Paid")</f>
        <v>0</v>
      </c>
      <c r="F44" s="8"/>
      <c r="G44" s="9">
        <f t="shared" si="6"/>
        <v>0</v>
      </c>
      <c r="H44" s="9">
        <f t="shared" si="7"/>
        <v>0</v>
      </c>
      <c r="I44" s="9">
        <f t="shared" si="8"/>
        <v>0</v>
      </c>
      <c r="J44" s="8"/>
      <c r="K44" s="9" t="str">
        <f t="shared" si="9"/>
        <v/>
      </c>
      <c r="L44" s="3"/>
    </row>
    <row r="45" spans="1:12">
      <c r="A45" s="17">
        <f t="shared" si="10"/>
        <v>46244</v>
      </c>
      <c r="B45" s="14">
        <f t="shared" si="11"/>
        <v>0</v>
      </c>
      <c r="C45" s="14">
        <f>SUMIFS(Orders!$M$5:$M$154,Orders!$B$5:$B$154,A45,Orders!$P$5:$P$154,"Cash",Orders!$Q$5:$Q$154,"Paid",Orders!$R$5:$R$154,"Completed")</f>
        <v>0</v>
      </c>
      <c r="D45" s="8"/>
      <c r="E45" s="14">
        <f>SUMIFS(Expenses!$J$5:$J$104,Expenses!$B$5:$B$104,A45,Expenses!$K$5:$K$104,"Cash",Expenses!$M$5:$M$104,"Paid")</f>
        <v>0</v>
      </c>
      <c r="F45" s="8"/>
      <c r="G45" s="9">
        <f t="shared" si="6"/>
        <v>0</v>
      </c>
      <c r="H45" s="9">
        <f t="shared" si="7"/>
        <v>0</v>
      </c>
      <c r="I45" s="9">
        <f t="shared" si="8"/>
        <v>0</v>
      </c>
      <c r="J45" s="8"/>
      <c r="K45" s="9" t="str">
        <f t="shared" si="9"/>
        <v/>
      </c>
      <c r="L45" s="3"/>
    </row>
    <row r="46" spans="1:12">
      <c r="A46" s="17">
        <f t="shared" si="10"/>
        <v>46245</v>
      </c>
      <c r="B46" s="14">
        <f t="shared" si="11"/>
        <v>0</v>
      </c>
      <c r="C46" s="14">
        <f>SUMIFS(Orders!$M$5:$M$154,Orders!$B$5:$B$154,A46,Orders!$P$5:$P$154,"Cash",Orders!$Q$5:$Q$154,"Paid",Orders!$R$5:$R$154,"Completed")</f>
        <v>0</v>
      </c>
      <c r="D46" s="8"/>
      <c r="E46" s="14">
        <f>SUMIFS(Expenses!$J$5:$J$104,Expenses!$B$5:$B$104,A46,Expenses!$K$5:$K$104,"Cash",Expenses!$M$5:$M$104,"Paid")</f>
        <v>0</v>
      </c>
      <c r="F46" s="8"/>
      <c r="G46" s="9">
        <f t="shared" si="6"/>
        <v>0</v>
      </c>
      <c r="H46" s="9">
        <f t="shared" si="7"/>
        <v>0</v>
      </c>
      <c r="I46" s="9">
        <f t="shared" si="8"/>
        <v>0</v>
      </c>
      <c r="J46" s="8"/>
      <c r="K46" s="9" t="str">
        <f t="shared" si="9"/>
        <v/>
      </c>
      <c r="L46" s="3"/>
    </row>
    <row r="47" spans="1:12">
      <c r="A47" s="17">
        <f t="shared" si="10"/>
        <v>46246</v>
      </c>
      <c r="B47" s="14">
        <f t="shared" si="11"/>
        <v>0</v>
      </c>
      <c r="C47" s="14">
        <f>SUMIFS(Orders!$M$5:$M$154,Orders!$B$5:$B$154,A47,Orders!$P$5:$P$154,"Cash",Orders!$Q$5:$Q$154,"Paid",Orders!$R$5:$R$154,"Completed")</f>
        <v>0</v>
      </c>
      <c r="D47" s="8"/>
      <c r="E47" s="14">
        <f>SUMIFS(Expenses!$J$5:$J$104,Expenses!$B$5:$B$104,A47,Expenses!$K$5:$K$104,"Cash",Expenses!$M$5:$M$104,"Paid")</f>
        <v>0</v>
      </c>
      <c r="F47" s="8"/>
      <c r="G47" s="9">
        <f t="shared" si="6"/>
        <v>0</v>
      </c>
      <c r="H47" s="9">
        <f t="shared" si="7"/>
        <v>0</v>
      </c>
      <c r="I47" s="9">
        <f t="shared" si="8"/>
        <v>0</v>
      </c>
      <c r="J47" s="8"/>
      <c r="K47" s="9" t="str">
        <f t="shared" si="9"/>
        <v/>
      </c>
      <c r="L47" s="3"/>
    </row>
    <row r="48" spans="1:12">
      <c r="A48" s="17">
        <f t="shared" si="10"/>
        <v>46247</v>
      </c>
      <c r="B48" s="14">
        <f t="shared" si="11"/>
        <v>0</v>
      </c>
      <c r="C48" s="14">
        <f>SUMIFS(Orders!$M$5:$M$154,Orders!$B$5:$B$154,A48,Orders!$P$5:$P$154,"Cash",Orders!$Q$5:$Q$154,"Paid",Orders!$R$5:$R$154,"Completed")</f>
        <v>0</v>
      </c>
      <c r="D48" s="8"/>
      <c r="E48" s="14">
        <f>SUMIFS(Expenses!$J$5:$J$104,Expenses!$B$5:$B$104,A48,Expenses!$K$5:$K$104,"Cash",Expenses!$M$5:$M$104,"Paid")</f>
        <v>0</v>
      </c>
      <c r="F48" s="8"/>
      <c r="G48" s="9">
        <f t="shared" si="6"/>
        <v>0</v>
      </c>
      <c r="H48" s="9">
        <f t="shared" si="7"/>
        <v>0</v>
      </c>
      <c r="I48" s="9">
        <f t="shared" si="8"/>
        <v>0</v>
      </c>
      <c r="J48" s="8"/>
      <c r="K48" s="9" t="str">
        <f t="shared" si="9"/>
        <v/>
      </c>
      <c r="L48" s="3"/>
    </row>
    <row r="49" spans="1:12">
      <c r="A49" s="17">
        <f t="shared" si="10"/>
        <v>46248</v>
      </c>
      <c r="B49" s="14">
        <f t="shared" si="11"/>
        <v>0</v>
      </c>
      <c r="C49" s="14">
        <f>SUMIFS(Orders!$M$5:$M$154,Orders!$B$5:$B$154,A49,Orders!$P$5:$P$154,"Cash",Orders!$Q$5:$Q$154,"Paid",Orders!$R$5:$R$154,"Completed")</f>
        <v>0</v>
      </c>
      <c r="D49" s="8"/>
      <c r="E49" s="14">
        <f>SUMIFS(Expenses!$J$5:$J$104,Expenses!$B$5:$B$104,A49,Expenses!$K$5:$K$104,"Cash",Expenses!$M$5:$M$104,"Paid")</f>
        <v>0</v>
      </c>
      <c r="F49" s="8"/>
      <c r="G49" s="9">
        <f t="shared" si="6"/>
        <v>0</v>
      </c>
      <c r="H49" s="9">
        <f t="shared" si="7"/>
        <v>0</v>
      </c>
      <c r="I49" s="9">
        <f t="shared" si="8"/>
        <v>0</v>
      </c>
      <c r="J49" s="8"/>
      <c r="K49" s="9" t="str">
        <f t="shared" si="9"/>
        <v/>
      </c>
      <c r="L49" s="3"/>
    </row>
    <row r="50" spans="1:12">
      <c r="A50" s="17">
        <f t="shared" si="10"/>
        <v>46249</v>
      </c>
      <c r="B50" s="14">
        <f t="shared" si="11"/>
        <v>0</v>
      </c>
      <c r="C50" s="14">
        <f>SUMIFS(Orders!$M$5:$M$154,Orders!$B$5:$B$154,A50,Orders!$P$5:$P$154,"Cash",Orders!$Q$5:$Q$154,"Paid",Orders!$R$5:$R$154,"Completed")</f>
        <v>0</v>
      </c>
      <c r="D50" s="8"/>
      <c r="E50" s="14">
        <f>SUMIFS(Expenses!$J$5:$J$104,Expenses!$B$5:$B$104,A50,Expenses!$K$5:$K$104,"Cash",Expenses!$M$5:$M$104,"Paid")</f>
        <v>0</v>
      </c>
      <c r="F50" s="8"/>
      <c r="G50" s="9">
        <f t="shared" si="6"/>
        <v>0</v>
      </c>
      <c r="H50" s="9">
        <f t="shared" si="7"/>
        <v>0</v>
      </c>
      <c r="I50" s="9">
        <f t="shared" si="8"/>
        <v>0</v>
      </c>
      <c r="J50" s="8"/>
      <c r="K50" s="9" t="str">
        <f t="shared" si="9"/>
        <v/>
      </c>
      <c r="L50" s="3"/>
    </row>
    <row r="51" spans="1:12">
      <c r="A51" s="17">
        <f t="shared" si="10"/>
        <v>46250</v>
      </c>
      <c r="B51" s="14">
        <f t="shared" si="11"/>
        <v>0</v>
      </c>
      <c r="C51" s="14">
        <f>SUMIFS(Orders!$M$5:$M$154,Orders!$B$5:$B$154,A51,Orders!$P$5:$P$154,"Cash",Orders!$Q$5:$Q$154,"Paid",Orders!$R$5:$R$154,"Completed")</f>
        <v>0</v>
      </c>
      <c r="D51" s="8"/>
      <c r="E51" s="14">
        <f>SUMIFS(Expenses!$J$5:$J$104,Expenses!$B$5:$B$104,A51,Expenses!$K$5:$K$104,"Cash",Expenses!$M$5:$M$104,"Paid")</f>
        <v>0</v>
      </c>
      <c r="F51" s="8"/>
      <c r="G51" s="9">
        <f t="shared" si="6"/>
        <v>0</v>
      </c>
      <c r="H51" s="9">
        <f t="shared" si="7"/>
        <v>0</v>
      </c>
      <c r="I51" s="9">
        <f t="shared" si="8"/>
        <v>0</v>
      </c>
      <c r="J51" s="8"/>
      <c r="K51" s="9" t="str">
        <f t="shared" si="9"/>
        <v/>
      </c>
      <c r="L51" s="3"/>
    </row>
    <row r="52" spans="1:12">
      <c r="A52" s="17">
        <f t="shared" si="10"/>
        <v>46251</v>
      </c>
      <c r="B52" s="14">
        <f t="shared" si="11"/>
        <v>0</v>
      </c>
      <c r="C52" s="14">
        <f>SUMIFS(Orders!$M$5:$M$154,Orders!$B$5:$B$154,A52,Orders!$P$5:$P$154,"Cash",Orders!$Q$5:$Q$154,"Paid",Orders!$R$5:$R$154,"Completed")</f>
        <v>0</v>
      </c>
      <c r="D52" s="8"/>
      <c r="E52" s="14">
        <f>SUMIFS(Expenses!$J$5:$J$104,Expenses!$B$5:$B$104,A52,Expenses!$K$5:$K$104,"Cash",Expenses!$M$5:$M$104,"Paid")</f>
        <v>0</v>
      </c>
      <c r="F52" s="8"/>
      <c r="G52" s="9">
        <f t="shared" si="6"/>
        <v>0</v>
      </c>
      <c r="H52" s="9">
        <f t="shared" si="7"/>
        <v>0</v>
      </c>
      <c r="I52" s="9">
        <f t="shared" si="8"/>
        <v>0</v>
      </c>
      <c r="J52" s="8"/>
      <c r="K52" s="9" t="str">
        <f t="shared" si="9"/>
        <v/>
      </c>
      <c r="L52" s="3"/>
    </row>
    <row r="53" spans="1:12">
      <c r="A53" s="17">
        <f t="shared" si="10"/>
        <v>46252</v>
      </c>
      <c r="B53" s="14">
        <f t="shared" si="11"/>
        <v>0</v>
      </c>
      <c r="C53" s="14">
        <f>SUMIFS(Orders!$M$5:$M$154,Orders!$B$5:$B$154,A53,Orders!$P$5:$P$154,"Cash",Orders!$Q$5:$Q$154,"Paid",Orders!$R$5:$R$154,"Completed")</f>
        <v>0</v>
      </c>
      <c r="D53" s="8"/>
      <c r="E53" s="14">
        <f>SUMIFS(Expenses!$J$5:$J$104,Expenses!$B$5:$B$104,A53,Expenses!$K$5:$K$104,"Cash",Expenses!$M$5:$M$104,"Paid")</f>
        <v>0</v>
      </c>
      <c r="F53" s="8"/>
      <c r="G53" s="9">
        <f t="shared" si="6"/>
        <v>0</v>
      </c>
      <c r="H53" s="9">
        <f t="shared" si="7"/>
        <v>0</v>
      </c>
      <c r="I53" s="9">
        <f t="shared" si="8"/>
        <v>0</v>
      </c>
      <c r="J53" s="8"/>
      <c r="K53" s="9" t="str">
        <f t="shared" si="9"/>
        <v/>
      </c>
      <c r="L53" s="3"/>
    </row>
    <row r="54" spans="1:12">
      <c r="A54" s="17">
        <f t="shared" si="10"/>
        <v>46253</v>
      </c>
      <c r="B54" s="14">
        <f t="shared" si="11"/>
        <v>0</v>
      </c>
      <c r="C54" s="14">
        <f>SUMIFS(Orders!$M$5:$M$154,Orders!$B$5:$B$154,A54,Orders!$P$5:$P$154,"Cash",Orders!$Q$5:$Q$154,"Paid",Orders!$R$5:$R$154,"Completed")</f>
        <v>0</v>
      </c>
      <c r="D54" s="8"/>
      <c r="E54" s="14">
        <f>SUMIFS(Expenses!$J$5:$J$104,Expenses!$B$5:$B$104,A54,Expenses!$K$5:$K$104,"Cash",Expenses!$M$5:$M$104,"Paid")</f>
        <v>0</v>
      </c>
      <c r="F54" s="8"/>
      <c r="G54" s="9">
        <f t="shared" si="6"/>
        <v>0</v>
      </c>
      <c r="H54" s="9">
        <f t="shared" si="7"/>
        <v>0</v>
      </c>
      <c r="I54" s="9">
        <f t="shared" si="8"/>
        <v>0</v>
      </c>
      <c r="J54" s="8"/>
      <c r="K54" s="9" t="str">
        <f t="shared" si="9"/>
        <v/>
      </c>
      <c r="L54" s="3"/>
    </row>
    <row r="55" spans="1:12">
      <c r="A55" s="17">
        <f t="shared" si="10"/>
        <v>46254</v>
      </c>
      <c r="B55" s="14">
        <f t="shared" si="11"/>
        <v>0</v>
      </c>
      <c r="C55" s="14">
        <f>SUMIFS(Orders!$M$5:$M$154,Orders!$B$5:$B$154,A55,Orders!$P$5:$P$154,"Cash",Orders!$Q$5:$Q$154,"Paid",Orders!$R$5:$R$154,"Completed")</f>
        <v>0</v>
      </c>
      <c r="D55" s="8"/>
      <c r="E55" s="14">
        <f>SUMIFS(Expenses!$J$5:$J$104,Expenses!$B$5:$B$104,A55,Expenses!$K$5:$K$104,"Cash",Expenses!$M$5:$M$104,"Paid")</f>
        <v>0</v>
      </c>
      <c r="F55" s="8"/>
      <c r="G55" s="9">
        <f t="shared" si="6"/>
        <v>0</v>
      </c>
      <c r="H55" s="9">
        <f t="shared" si="7"/>
        <v>0</v>
      </c>
      <c r="I55" s="9">
        <f t="shared" si="8"/>
        <v>0</v>
      </c>
      <c r="J55" s="8"/>
      <c r="K55" s="9" t="str">
        <f t="shared" si="9"/>
        <v/>
      </c>
      <c r="L55" s="3"/>
    </row>
    <row r="56" spans="1:12">
      <c r="A56" s="17">
        <f t="shared" si="10"/>
        <v>46255</v>
      </c>
      <c r="B56" s="14">
        <f t="shared" si="11"/>
        <v>0</v>
      </c>
      <c r="C56" s="14">
        <f>SUMIFS(Orders!$M$5:$M$154,Orders!$B$5:$B$154,A56,Orders!$P$5:$P$154,"Cash",Orders!$Q$5:$Q$154,"Paid",Orders!$R$5:$R$154,"Completed")</f>
        <v>0</v>
      </c>
      <c r="D56" s="8"/>
      <c r="E56" s="14">
        <f>SUMIFS(Expenses!$J$5:$J$104,Expenses!$B$5:$B$104,A56,Expenses!$K$5:$K$104,"Cash",Expenses!$M$5:$M$104,"Paid")</f>
        <v>0</v>
      </c>
      <c r="F56" s="8"/>
      <c r="G56" s="9">
        <f t="shared" si="6"/>
        <v>0</v>
      </c>
      <c r="H56" s="9">
        <f t="shared" si="7"/>
        <v>0</v>
      </c>
      <c r="I56" s="9">
        <f t="shared" si="8"/>
        <v>0</v>
      </c>
      <c r="J56" s="8"/>
      <c r="K56" s="9" t="str">
        <f t="shared" si="9"/>
        <v/>
      </c>
      <c r="L56" s="3"/>
    </row>
    <row r="57" spans="1:12">
      <c r="A57" s="17">
        <f t="shared" si="10"/>
        <v>46256</v>
      </c>
      <c r="B57" s="14">
        <f t="shared" si="11"/>
        <v>0</v>
      </c>
      <c r="C57" s="14">
        <f>SUMIFS(Orders!$M$5:$M$154,Orders!$B$5:$B$154,A57,Orders!$P$5:$P$154,"Cash",Orders!$Q$5:$Q$154,"Paid",Orders!$R$5:$R$154,"Completed")</f>
        <v>0</v>
      </c>
      <c r="D57" s="8"/>
      <c r="E57" s="14">
        <f>SUMIFS(Expenses!$J$5:$J$104,Expenses!$B$5:$B$104,A57,Expenses!$K$5:$K$104,"Cash",Expenses!$M$5:$M$104,"Paid")</f>
        <v>0</v>
      </c>
      <c r="F57" s="8"/>
      <c r="G57" s="9">
        <f t="shared" si="6"/>
        <v>0</v>
      </c>
      <c r="H57" s="9">
        <f t="shared" si="7"/>
        <v>0</v>
      </c>
      <c r="I57" s="9">
        <f t="shared" si="8"/>
        <v>0</v>
      </c>
      <c r="J57" s="8"/>
      <c r="K57" s="9" t="str">
        <f t="shared" si="9"/>
        <v/>
      </c>
      <c r="L57" s="3"/>
    </row>
    <row r="58" spans="1:12">
      <c r="A58" s="17">
        <f t="shared" si="10"/>
        <v>46257</v>
      </c>
      <c r="B58" s="14">
        <f t="shared" si="11"/>
        <v>0</v>
      </c>
      <c r="C58" s="14">
        <f>SUMIFS(Orders!$M$5:$M$154,Orders!$B$5:$B$154,A58,Orders!$P$5:$P$154,"Cash",Orders!$Q$5:$Q$154,"Paid",Orders!$R$5:$R$154,"Completed")</f>
        <v>0</v>
      </c>
      <c r="D58" s="8"/>
      <c r="E58" s="14">
        <f>SUMIFS(Expenses!$J$5:$J$104,Expenses!$B$5:$B$104,A58,Expenses!$K$5:$K$104,"Cash",Expenses!$M$5:$M$104,"Paid")</f>
        <v>0</v>
      </c>
      <c r="F58" s="8"/>
      <c r="G58" s="9">
        <f t="shared" si="6"/>
        <v>0</v>
      </c>
      <c r="H58" s="9">
        <f t="shared" si="7"/>
        <v>0</v>
      </c>
      <c r="I58" s="9">
        <f t="shared" si="8"/>
        <v>0</v>
      </c>
      <c r="J58" s="8"/>
      <c r="K58" s="9" t="str">
        <f t="shared" si="9"/>
        <v/>
      </c>
      <c r="L58" s="3"/>
    </row>
    <row r="59" spans="1:12">
      <c r="A59" s="17">
        <f t="shared" si="10"/>
        <v>46258</v>
      </c>
      <c r="B59" s="14">
        <f t="shared" si="11"/>
        <v>0</v>
      </c>
      <c r="C59" s="14">
        <f>SUMIFS(Orders!$M$5:$M$154,Orders!$B$5:$B$154,A59,Orders!$P$5:$P$154,"Cash",Orders!$Q$5:$Q$154,"Paid",Orders!$R$5:$R$154,"Completed")</f>
        <v>0</v>
      </c>
      <c r="D59" s="8"/>
      <c r="E59" s="14">
        <f>SUMIFS(Expenses!$J$5:$J$104,Expenses!$B$5:$B$104,A59,Expenses!$K$5:$K$104,"Cash",Expenses!$M$5:$M$104,"Paid")</f>
        <v>0</v>
      </c>
      <c r="F59" s="8"/>
      <c r="G59" s="9">
        <f t="shared" si="6"/>
        <v>0</v>
      </c>
      <c r="H59" s="9">
        <f t="shared" si="7"/>
        <v>0</v>
      </c>
      <c r="I59" s="9">
        <f t="shared" si="8"/>
        <v>0</v>
      </c>
      <c r="J59" s="8"/>
      <c r="K59" s="9" t="str">
        <f t="shared" si="9"/>
        <v/>
      </c>
      <c r="L59" s="3"/>
    </row>
    <row r="60" spans="1:12">
      <c r="A60" s="17">
        <f t="shared" si="10"/>
        <v>46259</v>
      </c>
      <c r="B60" s="14">
        <f t="shared" si="11"/>
        <v>0</v>
      </c>
      <c r="C60" s="14">
        <f>SUMIFS(Orders!$M$5:$M$154,Orders!$B$5:$B$154,A60,Orders!$P$5:$P$154,"Cash",Orders!$Q$5:$Q$154,"Paid",Orders!$R$5:$R$154,"Completed")</f>
        <v>0</v>
      </c>
      <c r="D60" s="8"/>
      <c r="E60" s="14">
        <f>SUMIFS(Expenses!$J$5:$J$104,Expenses!$B$5:$B$104,A60,Expenses!$K$5:$K$104,"Cash",Expenses!$M$5:$M$104,"Paid")</f>
        <v>0</v>
      </c>
      <c r="F60" s="8"/>
      <c r="G60" s="9">
        <f t="shared" si="6"/>
        <v>0</v>
      </c>
      <c r="H60" s="9">
        <f t="shared" si="7"/>
        <v>0</v>
      </c>
      <c r="I60" s="9">
        <f t="shared" si="8"/>
        <v>0</v>
      </c>
      <c r="J60" s="8"/>
      <c r="K60" s="9" t="str">
        <f t="shared" si="9"/>
        <v/>
      </c>
      <c r="L60" s="3"/>
    </row>
    <row r="61" spans="1:12">
      <c r="A61" s="17">
        <f t="shared" si="10"/>
        <v>46260</v>
      </c>
      <c r="B61" s="14">
        <f t="shared" si="11"/>
        <v>0</v>
      </c>
      <c r="C61" s="14">
        <f>SUMIFS(Orders!$M$5:$M$154,Orders!$B$5:$B$154,A61,Orders!$P$5:$P$154,"Cash",Orders!$Q$5:$Q$154,"Paid",Orders!$R$5:$R$154,"Completed")</f>
        <v>0</v>
      </c>
      <c r="D61" s="8"/>
      <c r="E61" s="14">
        <f>SUMIFS(Expenses!$J$5:$J$104,Expenses!$B$5:$B$104,A61,Expenses!$K$5:$K$104,"Cash",Expenses!$M$5:$M$104,"Paid")</f>
        <v>0</v>
      </c>
      <c r="F61" s="8"/>
      <c r="G61" s="9">
        <f t="shared" si="6"/>
        <v>0</v>
      </c>
      <c r="H61" s="9">
        <f t="shared" si="7"/>
        <v>0</v>
      </c>
      <c r="I61" s="9">
        <f t="shared" si="8"/>
        <v>0</v>
      </c>
      <c r="J61" s="8"/>
      <c r="K61" s="9" t="str">
        <f t="shared" si="9"/>
        <v/>
      </c>
      <c r="L61" s="3"/>
    </row>
    <row r="62" spans="1:12">
      <c r="A62" s="17">
        <f t="shared" si="10"/>
        <v>46261</v>
      </c>
      <c r="B62" s="14">
        <f t="shared" si="11"/>
        <v>0</v>
      </c>
      <c r="C62" s="14">
        <f>SUMIFS(Orders!$M$5:$M$154,Orders!$B$5:$B$154,A62,Orders!$P$5:$P$154,"Cash",Orders!$Q$5:$Q$154,"Paid",Orders!$R$5:$R$154,"Completed")</f>
        <v>0</v>
      </c>
      <c r="D62" s="8"/>
      <c r="E62" s="14">
        <f>SUMIFS(Expenses!$J$5:$J$104,Expenses!$B$5:$B$104,A62,Expenses!$K$5:$K$104,"Cash",Expenses!$M$5:$M$104,"Paid")</f>
        <v>0</v>
      </c>
      <c r="F62" s="8"/>
      <c r="G62" s="9">
        <f t="shared" si="6"/>
        <v>0</v>
      </c>
      <c r="H62" s="9">
        <f t="shared" si="7"/>
        <v>0</v>
      </c>
      <c r="I62" s="9">
        <f t="shared" si="8"/>
        <v>0</v>
      </c>
      <c r="J62" s="8"/>
      <c r="K62" s="9" t="str">
        <f t="shared" si="9"/>
        <v/>
      </c>
      <c r="L62" s="3"/>
    </row>
    <row r="63" spans="1:12">
      <c r="A63" s="17">
        <f t="shared" si="10"/>
        <v>46262</v>
      </c>
      <c r="B63" s="14">
        <f t="shared" si="11"/>
        <v>0</v>
      </c>
      <c r="C63" s="14">
        <f>SUMIFS(Orders!$M$5:$M$154,Orders!$B$5:$B$154,A63,Orders!$P$5:$P$154,"Cash",Orders!$Q$5:$Q$154,"Paid",Orders!$R$5:$R$154,"Completed")</f>
        <v>0</v>
      </c>
      <c r="D63" s="8"/>
      <c r="E63" s="14">
        <f>SUMIFS(Expenses!$J$5:$J$104,Expenses!$B$5:$B$104,A63,Expenses!$K$5:$K$104,"Cash",Expenses!$M$5:$M$104,"Paid")</f>
        <v>0</v>
      </c>
      <c r="F63" s="8"/>
      <c r="G63" s="9">
        <f t="shared" si="6"/>
        <v>0</v>
      </c>
      <c r="H63" s="9">
        <f t="shared" si="7"/>
        <v>0</v>
      </c>
      <c r="I63" s="9">
        <f t="shared" si="8"/>
        <v>0</v>
      </c>
      <c r="J63" s="8"/>
      <c r="K63" s="9" t="str">
        <f t="shared" si="9"/>
        <v/>
      </c>
      <c r="L63" s="3"/>
    </row>
    <row r="64" spans="1:12">
      <c r="A64" s="17">
        <f t="shared" si="10"/>
        <v>46263</v>
      </c>
      <c r="B64" s="14">
        <f t="shared" si="11"/>
        <v>0</v>
      </c>
      <c r="C64" s="14">
        <f>SUMIFS(Orders!$M$5:$M$154,Orders!$B$5:$B$154,A64,Orders!$P$5:$P$154,"Cash",Orders!$Q$5:$Q$154,"Paid",Orders!$R$5:$R$154,"Completed")</f>
        <v>0</v>
      </c>
      <c r="D64" s="8"/>
      <c r="E64" s="14">
        <f>SUMIFS(Expenses!$J$5:$J$104,Expenses!$B$5:$B$104,A64,Expenses!$K$5:$K$104,"Cash",Expenses!$M$5:$M$104,"Paid")</f>
        <v>0</v>
      </c>
      <c r="F64" s="8"/>
      <c r="G64" s="9">
        <f t="shared" si="6"/>
        <v>0</v>
      </c>
      <c r="H64" s="9">
        <f t="shared" si="7"/>
        <v>0</v>
      </c>
      <c r="I64" s="9">
        <f t="shared" si="8"/>
        <v>0</v>
      </c>
      <c r="J64" s="8"/>
      <c r="K64" s="9" t="str">
        <f t="shared" si="9"/>
        <v/>
      </c>
      <c r="L64" s="3"/>
    </row>
    <row r="65" spans="1:12">
      <c r="A65" s="17">
        <f t="shared" si="10"/>
        <v>46264</v>
      </c>
      <c r="B65" s="14">
        <f t="shared" si="11"/>
        <v>0</v>
      </c>
      <c r="C65" s="14">
        <f>SUMIFS(Orders!$M$5:$M$154,Orders!$B$5:$B$154,A65,Orders!$P$5:$P$154,"Cash",Orders!$Q$5:$Q$154,"Paid",Orders!$R$5:$R$154,"Completed")</f>
        <v>0</v>
      </c>
      <c r="D65" s="8"/>
      <c r="E65" s="14">
        <f>SUMIFS(Expenses!$J$5:$J$104,Expenses!$B$5:$B$104,A65,Expenses!$K$5:$K$104,"Cash",Expenses!$M$5:$M$104,"Paid")</f>
        <v>0</v>
      </c>
      <c r="F65" s="8"/>
      <c r="G65" s="9">
        <f t="shared" si="6"/>
        <v>0</v>
      </c>
      <c r="H65" s="9">
        <f t="shared" si="7"/>
        <v>0</v>
      </c>
      <c r="I65" s="9">
        <f t="shared" si="8"/>
        <v>0</v>
      </c>
      <c r="J65" s="8"/>
      <c r="K65" s="9" t="str">
        <f t="shared" si="9"/>
        <v/>
      </c>
      <c r="L65" s="3"/>
    </row>
    <row r="66" spans="1:12">
      <c r="A66" s="17">
        <f t="shared" si="10"/>
        <v>46265</v>
      </c>
      <c r="B66" s="14">
        <f t="shared" si="11"/>
        <v>0</v>
      </c>
      <c r="C66" s="14">
        <f>SUMIFS(Orders!$M$5:$M$154,Orders!$B$5:$B$154,A66,Orders!$P$5:$P$154,"Cash",Orders!$Q$5:$Q$154,"Paid",Orders!$R$5:$R$154,"Completed")</f>
        <v>0</v>
      </c>
      <c r="D66" s="8"/>
      <c r="E66" s="14">
        <f>SUMIFS(Expenses!$J$5:$J$104,Expenses!$B$5:$B$104,A66,Expenses!$K$5:$K$104,"Cash",Expenses!$M$5:$M$104,"Paid")</f>
        <v>0</v>
      </c>
      <c r="F66" s="8"/>
      <c r="G66" s="9">
        <f t="shared" si="6"/>
        <v>0</v>
      </c>
      <c r="H66" s="9">
        <f t="shared" si="7"/>
        <v>0</v>
      </c>
      <c r="I66" s="9">
        <f t="shared" si="8"/>
        <v>0</v>
      </c>
      <c r="J66" s="8"/>
      <c r="K66" s="9" t="str">
        <f t="shared" si="9"/>
        <v/>
      </c>
      <c r="L66" s="3"/>
    </row>
    <row r="67" spans="1:12">
      <c r="A67" s="17">
        <f t="shared" si="10"/>
        <v>46266</v>
      </c>
      <c r="B67" s="14">
        <f t="shared" si="11"/>
        <v>0</v>
      </c>
      <c r="C67" s="14">
        <f>SUMIFS(Orders!$M$5:$M$154,Orders!$B$5:$B$154,A67,Orders!$P$5:$P$154,"Cash",Orders!$Q$5:$Q$154,"Paid",Orders!$R$5:$R$154,"Completed")</f>
        <v>0</v>
      </c>
      <c r="D67" s="8"/>
      <c r="E67" s="14">
        <f>SUMIFS(Expenses!$J$5:$J$104,Expenses!$B$5:$B$104,A67,Expenses!$K$5:$K$104,"Cash",Expenses!$M$5:$M$104,"Paid")</f>
        <v>0</v>
      </c>
      <c r="F67" s="8"/>
      <c r="G67" s="9">
        <f t="shared" si="6"/>
        <v>0</v>
      </c>
      <c r="H67" s="9">
        <f t="shared" si="7"/>
        <v>0</v>
      </c>
      <c r="I67" s="9">
        <f t="shared" si="8"/>
        <v>0</v>
      </c>
      <c r="J67" s="8"/>
      <c r="K67" s="9" t="str">
        <f t="shared" si="9"/>
        <v/>
      </c>
      <c r="L67" s="3"/>
    </row>
    <row r="68" spans="1:12">
      <c r="A68" s="17">
        <f t="shared" si="10"/>
        <v>46267</v>
      </c>
      <c r="B68" s="14">
        <f t="shared" si="11"/>
        <v>0</v>
      </c>
      <c r="C68" s="14">
        <f>SUMIFS(Orders!$M$5:$M$154,Orders!$B$5:$B$154,A68,Orders!$P$5:$P$154,"Cash",Orders!$Q$5:$Q$154,"Paid",Orders!$R$5:$R$154,"Completed")</f>
        <v>0</v>
      </c>
      <c r="D68" s="8"/>
      <c r="E68" s="14">
        <f>SUMIFS(Expenses!$J$5:$J$104,Expenses!$B$5:$B$104,A68,Expenses!$K$5:$K$104,"Cash",Expenses!$M$5:$M$104,"Paid")</f>
        <v>0</v>
      </c>
      <c r="F68" s="8"/>
      <c r="G68" s="9">
        <f t="shared" si="6"/>
        <v>0</v>
      </c>
      <c r="H68" s="9">
        <f t="shared" si="7"/>
        <v>0</v>
      </c>
      <c r="I68" s="9">
        <f t="shared" si="8"/>
        <v>0</v>
      </c>
      <c r="J68" s="8"/>
      <c r="K68" s="9" t="str">
        <f t="shared" si="9"/>
        <v/>
      </c>
      <c r="L68" s="3"/>
    </row>
    <row r="69" spans="1:12">
      <c r="A69" s="17">
        <f t="shared" si="10"/>
        <v>46268</v>
      </c>
      <c r="B69" s="14">
        <f t="shared" si="11"/>
        <v>0</v>
      </c>
      <c r="C69" s="14">
        <f>SUMIFS(Orders!$M$5:$M$154,Orders!$B$5:$B$154,A69,Orders!$P$5:$P$154,"Cash",Orders!$Q$5:$Q$154,"Paid",Orders!$R$5:$R$154,"Completed")</f>
        <v>0</v>
      </c>
      <c r="D69" s="8"/>
      <c r="E69" s="14">
        <f>SUMIFS(Expenses!$J$5:$J$104,Expenses!$B$5:$B$104,A69,Expenses!$K$5:$K$104,"Cash",Expenses!$M$5:$M$104,"Paid")</f>
        <v>0</v>
      </c>
      <c r="F69" s="8"/>
      <c r="G69" s="9">
        <f t="shared" ref="G69:G100" si="12">C69+IF(D69="",0,D69)</f>
        <v>0</v>
      </c>
      <c r="H69" s="9">
        <f t="shared" ref="H69:H100" si="13">E69+IF(F69="",0,F69)</f>
        <v>0</v>
      </c>
      <c r="I69" s="9">
        <f t="shared" ref="I69:I100" si="14">B69+G69-H69</f>
        <v>0</v>
      </c>
      <c r="J69" s="8"/>
      <c r="K69" s="9" t="str">
        <f t="shared" ref="K69:K100" si="15">IF(J69="","",J69-I69)</f>
        <v/>
      </c>
      <c r="L69" s="3"/>
    </row>
    <row r="70" spans="1:12">
      <c r="A70" s="17">
        <f t="shared" ref="A70:A101" si="16">A69+1</f>
        <v>46269</v>
      </c>
      <c r="B70" s="14">
        <f t="shared" ref="B70:B101" si="17">IF(J69&lt;&gt;"",J69,I69)</f>
        <v>0</v>
      </c>
      <c r="C70" s="14">
        <f>SUMIFS(Orders!$M$5:$M$154,Orders!$B$5:$B$154,A70,Orders!$P$5:$P$154,"Cash",Orders!$Q$5:$Q$154,"Paid",Orders!$R$5:$R$154,"Completed")</f>
        <v>0</v>
      </c>
      <c r="D70" s="8"/>
      <c r="E70" s="14">
        <f>SUMIFS(Expenses!$J$5:$J$104,Expenses!$B$5:$B$104,A70,Expenses!$K$5:$K$104,"Cash",Expenses!$M$5:$M$104,"Paid")</f>
        <v>0</v>
      </c>
      <c r="F70" s="8"/>
      <c r="G70" s="9">
        <f t="shared" si="12"/>
        <v>0</v>
      </c>
      <c r="H70" s="9">
        <f t="shared" si="13"/>
        <v>0</v>
      </c>
      <c r="I70" s="9">
        <f t="shared" si="14"/>
        <v>0</v>
      </c>
      <c r="J70" s="8"/>
      <c r="K70" s="9" t="str">
        <f t="shared" si="15"/>
        <v/>
      </c>
      <c r="L70" s="3"/>
    </row>
    <row r="71" spans="1:12">
      <c r="A71" s="17">
        <f t="shared" si="16"/>
        <v>46270</v>
      </c>
      <c r="B71" s="14">
        <f t="shared" si="17"/>
        <v>0</v>
      </c>
      <c r="C71" s="14">
        <f>SUMIFS(Orders!$M$5:$M$154,Orders!$B$5:$B$154,A71,Orders!$P$5:$P$154,"Cash",Orders!$Q$5:$Q$154,"Paid",Orders!$R$5:$R$154,"Completed")</f>
        <v>0</v>
      </c>
      <c r="D71" s="8"/>
      <c r="E71" s="14">
        <f>SUMIFS(Expenses!$J$5:$J$104,Expenses!$B$5:$B$104,A71,Expenses!$K$5:$K$104,"Cash",Expenses!$M$5:$M$104,"Paid")</f>
        <v>0</v>
      </c>
      <c r="F71" s="8"/>
      <c r="G71" s="9">
        <f t="shared" si="12"/>
        <v>0</v>
      </c>
      <c r="H71" s="9">
        <f t="shared" si="13"/>
        <v>0</v>
      </c>
      <c r="I71" s="9">
        <f t="shared" si="14"/>
        <v>0</v>
      </c>
      <c r="J71" s="8"/>
      <c r="K71" s="9" t="str">
        <f t="shared" si="15"/>
        <v/>
      </c>
      <c r="L71" s="3"/>
    </row>
    <row r="72" spans="1:12">
      <c r="A72" s="17">
        <f t="shared" si="16"/>
        <v>46271</v>
      </c>
      <c r="B72" s="14">
        <f t="shared" si="17"/>
        <v>0</v>
      </c>
      <c r="C72" s="14">
        <f>SUMIFS(Orders!$M$5:$M$154,Orders!$B$5:$B$154,A72,Orders!$P$5:$P$154,"Cash",Orders!$Q$5:$Q$154,"Paid",Orders!$R$5:$R$154,"Completed")</f>
        <v>0</v>
      </c>
      <c r="D72" s="8"/>
      <c r="E72" s="14">
        <f>SUMIFS(Expenses!$J$5:$J$104,Expenses!$B$5:$B$104,A72,Expenses!$K$5:$K$104,"Cash",Expenses!$M$5:$M$104,"Paid")</f>
        <v>0</v>
      </c>
      <c r="F72" s="8"/>
      <c r="G72" s="9">
        <f t="shared" si="12"/>
        <v>0</v>
      </c>
      <c r="H72" s="9">
        <f t="shared" si="13"/>
        <v>0</v>
      </c>
      <c r="I72" s="9">
        <f t="shared" si="14"/>
        <v>0</v>
      </c>
      <c r="J72" s="8"/>
      <c r="K72" s="9" t="str">
        <f t="shared" si="15"/>
        <v/>
      </c>
      <c r="L72" s="3"/>
    </row>
    <row r="73" spans="1:12">
      <c r="A73" s="17">
        <f t="shared" si="16"/>
        <v>46272</v>
      </c>
      <c r="B73" s="14">
        <f t="shared" si="17"/>
        <v>0</v>
      </c>
      <c r="C73" s="14">
        <f>SUMIFS(Orders!$M$5:$M$154,Orders!$B$5:$B$154,A73,Orders!$P$5:$P$154,"Cash",Orders!$Q$5:$Q$154,"Paid",Orders!$R$5:$R$154,"Completed")</f>
        <v>0</v>
      </c>
      <c r="D73" s="8"/>
      <c r="E73" s="14">
        <f>SUMIFS(Expenses!$J$5:$J$104,Expenses!$B$5:$B$104,A73,Expenses!$K$5:$K$104,"Cash",Expenses!$M$5:$M$104,"Paid")</f>
        <v>0</v>
      </c>
      <c r="F73" s="8"/>
      <c r="G73" s="9">
        <f t="shared" si="12"/>
        <v>0</v>
      </c>
      <c r="H73" s="9">
        <f t="shared" si="13"/>
        <v>0</v>
      </c>
      <c r="I73" s="9">
        <f t="shared" si="14"/>
        <v>0</v>
      </c>
      <c r="J73" s="8"/>
      <c r="K73" s="9" t="str">
        <f t="shared" si="15"/>
        <v/>
      </c>
      <c r="L73" s="3"/>
    </row>
    <row r="74" spans="1:12">
      <c r="A74" s="17">
        <f t="shared" si="16"/>
        <v>46273</v>
      </c>
      <c r="B74" s="14">
        <f t="shared" si="17"/>
        <v>0</v>
      </c>
      <c r="C74" s="14">
        <f>SUMIFS(Orders!$M$5:$M$154,Orders!$B$5:$B$154,A74,Orders!$P$5:$P$154,"Cash",Orders!$Q$5:$Q$154,"Paid",Orders!$R$5:$R$154,"Completed")</f>
        <v>0</v>
      </c>
      <c r="D74" s="8"/>
      <c r="E74" s="14">
        <f>SUMIFS(Expenses!$J$5:$J$104,Expenses!$B$5:$B$104,A74,Expenses!$K$5:$K$104,"Cash",Expenses!$M$5:$M$104,"Paid")</f>
        <v>0</v>
      </c>
      <c r="F74" s="8"/>
      <c r="G74" s="9">
        <f t="shared" si="12"/>
        <v>0</v>
      </c>
      <c r="H74" s="9">
        <f t="shared" si="13"/>
        <v>0</v>
      </c>
      <c r="I74" s="9">
        <f t="shared" si="14"/>
        <v>0</v>
      </c>
      <c r="J74" s="8"/>
      <c r="K74" s="9" t="str">
        <f t="shared" si="15"/>
        <v/>
      </c>
      <c r="L74" s="3"/>
    </row>
    <row r="75" spans="1:12">
      <c r="A75" s="17">
        <f t="shared" si="16"/>
        <v>46274</v>
      </c>
      <c r="B75" s="14">
        <f t="shared" si="17"/>
        <v>0</v>
      </c>
      <c r="C75" s="14">
        <f>SUMIFS(Orders!$M$5:$M$154,Orders!$B$5:$B$154,A75,Orders!$P$5:$P$154,"Cash",Orders!$Q$5:$Q$154,"Paid",Orders!$R$5:$R$154,"Completed")</f>
        <v>0</v>
      </c>
      <c r="D75" s="8"/>
      <c r="E75" s="14">
        <f>SUMIFS(Expenses!$J$5:$J$104,Expenses!$B$5:$B$104,A75,Expenses!$K$5:$K$104,"Cash",Expenses!$M$5:$M$104,"Paid")</f>
        <v>0</v>
      </c>
      <c r="F75" s="8"/>
      <c r="G75" s="9">
        <f t="shared" si="12"/>
        <v>0</v>
      </c>
      <c r="H75" s="9">
        <f t="shared" si="13"/>
        <v>0</v>
      </c>
      <c r="I75" s="9">
        <f t="shared" si="14"/>
        <v>0</v>
      </c>
      <c r="J75" s="8"/>
      <c r="K75" s="9" t="str">
        <f t="shared" si="15"/>
        <v/>
      </c>
      <c r="L75" s="3"/>
    </row>
    <row r="76" spans="1:12">
      <c r="A76" s="17">
        <f t="shared" si="16"/>
        <v>46275</v>
      </c>
      <c r="B76" s="14">
        <f t="shared" si="17"/>
        <v>0</v>
      </c>
      <c r="C76" s="14">
        <f>SUMIFS(Orders!$M$5:$M$154,Orders!$B$5:$B$154,A76,Orders!$P$5:$P$154,"Cash",Orders!$Q$5:$Q$154,"Paid",Orders!$R$5:$R$154,"Completed")</f>
        <v>0</v>
      </c>
      <c r="D76" s="8"/>
      <c r="E76" s="14">
        <f>SUMIFS(Expenses!$J$5:$J$104,Expenses!$B$5:$B$104,A76,Expenses!$K$5:$K$104,"Cash",Expenses!$M$5:$M$104,"Paid")</f>
        <v>0</v>
      </c>
      <c r="F76" s="8"/>
      <c r="G76" s="9">
        <f t="shared" si="12"/>
        <v>0</v>
      </c>
      <c r="H76" s="9">
        <f t="shared" si="13"/>
        <v>0</v>
      </c>
      <c r="I76" s="9">
        <f t="shared" si="14"/>
        <v>0</v>
      </c>
      <c r="J76" s="8"/>
      <c r="K76" s="9" t="str">
        <f t="shared" si="15"/>
        <v/>
      </c>
      <c r="L76" s="3"/>
    </row>
    <row r="77" spans="1:12">
      <c r="A77" s="17">
        <f t="shared" si="16"/>
        <v>46276</v>
      </c>
      <c r="B77" s="14">
        <f t="shared" si="17"/>
        <v>0</v>
      </c>
      <c r="C77" s="14">
        <f>SUMIFS(Orders!$M$5:$M$154,Orders!$B$5:$B$154,A77,Orders!$P$5:$P$154,"Cash",Orders!$Q$5:$Q$154,"Paid",Orders!$R$5:$R$154,"Completed")</f>
        <v>0</v>
      </c>
      <c r="D77" s="8"/>
      <c r="E77" s="14">
        <f>SUMIFS(Expenses!$J$5:$J$104,Expenses!$B$5:$B$104,A77,Expenses!$K$5:$K$104,"Cash",Expenses!$M$5:$M$104,"Paid")</f>
        <v>0</v>
      </c>
      <c r="F77" s="8"/>
      <c r="G77" s="9">
        <f t="shared" si="12"/>
        <v>0</v>
      </c>
      <c r="H77" s="9">
        <f t="shared" si="13"/>
        <v>0</v>
      </c>
      <c r="I77" s="9">
        <f t="shared" si="14"/>
        <v>0</v>
      </c>
      <c r="J77" s="8"/>
      <c r="K77" s="9" t="str">
        <f t="shared" si="15"/>
        <v/>
      </c>
      <c r="L77" s="3"/>
    </row>
    <row r="78" spans="1:12">
      <c r="A78" s="17">
        <f t="shared" si="16"/>
        <v>46277</v>
      </c>
      <c r="B78" s="14">
        <f t="shared" si="17"/>
        <v>0</v>
      </c>
      <c r="C78" s="14">
        <f>SUMIFS(Orders!$M$5:$M$154,Orders!$B$5:$B$154,A78,Orders!$P$5:$P$154,"Cash",Orders!$Q$5:$Q$154,"Paid",Orders!$R$5:$R$154,"Completed")</f>
        <v>0</v>
      </c>
      <c r="D78" s="8"/>
      <c r="E78" s="14">
        <f>SUMIFS(Expenses!$J$5:$J$104,Expenses!$B$5:$B$104,A78,Expenses!$K$5:$K$104,"Cash",Expenses!$M$5:$M$104,"Paid")</f>
        <v>0</v>
      </c>
      <c r="F78" s="8"/>
      <c r="G78" s="9">
        <f t="shared" si="12"/>
        <v>0</v>
      </c>
      <c r="H78" s="9">
        <f t="shared" si="13"/>
        <v>0</v>
      </c>
      <c r="I78" s="9">
        <f t="shared" si="14"/>
        <v>0</v>
      </c>
      <c r="J78" s="8"/>
      <c r="K78" s="9" t="str">
        <f t="shared" si="15"/>
        <v/>
      </c>
      <c r="L78" s="3"/>
    </row>
    <row r="79" spans="1:12">
      <c r="A79" s="17">
        <f t="shared" si="16"/>
        <v>46278</v>
      </c>
      <c r="B79" s="14">
        <f t="shared" si="17"/>
        <v>0</v>
      </c>
      <c r="C79" s="14">
        <f>SUMIFS(Orders!$M$5:$M$154,Orders!$B$5:$B$154,A79,Orders!$P$5:$P$154,"Cash",Orders!$Q$5:$Q$154,"Paid",Orders!$R$5:$R$154,"Completed")</f>
        <v>0</v>
      </c>
      <c r="D79" s="8"/>
      <c r="E79" s="14">
        <f>SUMIFS(Expenses!$J$5:$J$104,Expenses!$B$5:$B$104,A79,Expenses!$K$5:$K$104,"Cash",Expenses!$M$5:$M$104,"Paid")</f>
        <v>0</v>
      </c>
      <c r="F79" s="8"/>
      <c r="G79" s="9">
        <f t="shared" si="12"/>
        <v>0</v>
      </c>
      <c r="H79" s="9">
        <f t="shared" si="13"/>
        <v>0</v>
      </c>
      <c r="I79" s="9">
        <f t="shared" si="14"/>
        <v>0</v>
      </c>
      <c r="J79" s="8"/>
      <c r="K79" s="9" t="str">
        <f t="shared" si="15"/>
        <v/>
      </c>
      <c r="L79" s="3"/>
    </row>
    <row r="80" spans="1:12">
      <c r="A80" s="17">
        <f t="shared" si="16"/>
        <v>46279</v>
      </c>
      <c r="B80" s="14">
        <f t="shared" si="17"/>
        <v>0</v>
      </c>
      <c r="C80" s="14">
        <f>SUMIFS(Orders!$M$5:$M$154,Orders!$B$5:$B$154,A80,Orders!$P$5:$P$154,"Cash",Orders!$Q$5:$Q$154,"Paid",Orders!$R$5:$R$154,"Completed")</f>
        <v>0</v>
      </c>
      <c r="D80" s="8"/>
      <c r="E80" s="14">
        <f>SUMIFS(Expenses!$J$5:$J$104,Expenses!$B$5:$B$104,A80,Expenses!$K$5:$K$104,"Cash",Expenses!$M$5:$M$104,"Paid")</f>
        <v>0</v>
      </c>
      <c r="F80" s="8"/>
      <c r="G80" s="9">
        <f t="shared" si="12"/>
        <v>0</v>
      </c>
      <c r="H80" s="9">
        <f t="shared" si="13"/>
        <v>0</v>
      </c>
      <c r="I80" s="9">
        <f t="shared" si="14"/>
        <v>0</v>
      </c>
      <c r="J80" s="8"/>
      <c r="K80" s="9" t="str">
        <f t="shared" si="15"/>
        <v/>
      </c>
      <c r="L80" s="3"/>
    </row>
    <row r="81" spans="1:12">
      <c r="A81" s="17">
        <f t="shared" si="16"/>
        <v>46280</v>
      </c>
      <c r="B81" s="14">
        <f t="shared" si="17"/>
        <v>0</v>
      </c>
      <c r="C81" s="14">
        <f>SUMIFS(Orders!$M$5:$M$154,Orders!$B$5:$B$154,A81,Orders!$P$5:$P$154,"Cash",Orders!$Q$5:$Q$154,"Paid",Orders!$R$5:$R$154,"Completed")</f>
        <v>0</v>
      </c>
      <c r="D81" s="8"/>
      <c r="E81" s="14">
        <f>SUMIFS(Expenses!$J$5:$J$104,Expenses!$B$5:$B$104,A81,Expenses!$K$5:$K$104,"Cash",Expenses!$M$5:$M$104,"Paid")</f>
        <v>0</v>
      </c>
      <c r="F81" s="8"/>
      <c r="G81" s="9">
        <f t="shared" si="12"/>
        <v>0</v>
      </c>
      <c r="H81" s="9">
        <f t="shared" si="13"/>
        <v>0</v>
      </c>
      <c r="I81" s="9">
        <f t="shared" si="14"/>
        <v>0</v>
      </c>
      <c r="J81" s="8"/>
      <c r="K81" s="9" t="str">
        <f t="shared" si="15"/>
        <v/>
      </c>
      <c r="L81" s="3"/>
    </row>
    <row r="82" spans="1:12">
      <c r="A82" s="17">
        <f t="shared" si="16"/>
        <v>46281</v>
      </c>
      <c r="B82" s="14">
        <f t="shared" si="17"/>
        <v>0</v>
      </c>
      <c r="C82" s="14">
        <f>SUMIFS(Orders!$M$5:$M$154,Orders!$B$5:$B$154,A82,Orders!$P$5:$P$154,"Cash",Orders!$Q$5:$Q$154,"Paid",Orders!$R$5:$R$154,"Completed")</f>
        <v>0</v>
      </c>
      <c r="D82" s="8"/>
      <c r="E82" s="14">
        <f>SUMIFS(Expenses!$J$5:$J$104,Expenses!$B$5:$B$104,A82,Expenses!$K$5:$K$104,"Cash",Expenses!$M$5:$M$104,"Paid")</f>
        <v>0</v>
      </c>
      <c r="F82" s="8"/>
      <c r="G82" s="9">
        <f t="shared" si="12"/>
        <v>0</v>
      </c>
      <c r="H82" s="9">
        <f t="shared" si="13"/>
        <v>0</v>
      </c>
      <c r="I82" s="9">
        <f t="shared" si="14"/>
        <v>0</v>
      </c>
      <c r="J82" s="8"/>
      <c r="K82" s="9" t="str">
        <f t="shared" si="15"/>
        <v/>
      </c>
      <c r="L82" s="3"/>
    </row>
    <row r="83" spans="1:12">
      <c r="A83" s="17">
        <f t="shared" si="16"/>
        <v>46282</v>
      </c>
      <c r="B83" s="14">
        <f t="shared" si="17"/>
        <v>0</v>
      </c>
      <c r="C83" s="14">
        <f>SUMIFS(Orders!$M$5:$M$154,Orders!$B$5:$B$154,A83,Orders!$P$5:$P$154,"Cash",Orders!$Q$5:$Q$154,"Paid",Orders!$R$5:$R$154,"Completed")</f>
        <v>0</v>
      </c>
      <c r="D83" s="8"/>
      <c r="E83" s="14">
        <f>SUMIFS(Expenses!$J$5:$J$104,Expenses!$B$5:$B$104,A83,Expenses!$K$5:$K$104,"Cash",Expenses!$M$5:$M$104,"Paid")</f>
        <v>0</v>
      </c>
      <c r="F83" s="8"/>
      <c r="G83" s="9">
        <f t="shared" si="12"/>
        <v>0</v>
      </c>
      <c r="H83" s="9">
        <f t="shared" si="13"/>
        <v>0</v>
      </c>
      <c r="I83" s="9">
        <f t="shared" si="14"/>
        <v>0</v>
      </c>
      <c r="J83" s="8"/>
      <c r="K83" s="9" t="str">
        <f t="shared" si="15"/>
        <v/>
      </c>
      <c r="L83" s="3"/>
    </row>
    <row r="84" spans="1:12">
      <c r="A84" s="17">
        <f t="shared" si="16"/>
        <v>46283</v>
      </c>
      <c r="B84" s="14">
        <f t="shared" si="17"/>
        <v>0</v>
      </c>
      <c r="C84" s="14">
        <f>SUMIFS(Orders!$M$5:$M$154,Orders!$B$5:$B$154,A84,Orders!$P$5:$P$154,"Cash",Orders!$Q$5:$Q$154,"Paid",Orders!$R$5:$R$154,"Completed")</f>
        <v>0</v>
      </c>
      <c r="D84" s="8"/>
      <c r="E84" s="14">
        <f>SUMIFS(Expenses!$J$5:$J$104,Expenses!$B$5:$B$104,A84,Expenses!$K$5:$K$104,"Cash",Expenses!$M$5:$M$104,"Paid")</f>
        <v>0</v>
      </c>
      <c r="F84" s="8"/>
      <c r="G84" s="9">
        <f t="shared" si="12"/>
        <v>0</v>
      </c>
      <c r="H84" s="9">
        <f t="shared" si="13"/>
        <v>0</v>
      </c>
      <c r="I84" s="9">
        <f t="shared" si="14"/>
        <v>0</v>
      </c>
      <c r="J84" s="8"/>
      <c r="K84" s="9" t="str">
        <f t="shared" si="15"/>
        <v/>
      </c>
      <c r="L84" s="3"/>
    </row>
    <row r="85" spans="1:12">
      <c r="A85" s="17">
        <f t="shared" si="16"/>
        <v>46284</v>
      </c>
      <c r="B85" s="14">
        <f t="shared" si="17"/>
        <v>0</v>
      </c>
      <c r="C85" s="14">
        <f>SUMIFS(Orders!$M$5:$M$154,Orders!$B$5:$B$154,A85,Orders!$P$5:$P$154,"Cash",Orders!$Q$5:$Q$154,"Paid",Orders!$R$5:$R$154,"Completed")</f>
        <v>0</v>
      </c>
      <c r="D85" s="8"/>
      <c r="E85" s="14">
        <f>SUMIFS(Expenses!$J$5:$J$104,Expenses!$B$5:$B$104,A85,Expenses!$K$5:$K$104,"Cash",Expenses!$M$5:$M$104,"Paid")</f>
        <v>0</v>
      </c>
      <c r="F85" s="8"/>
      <c r="G85" s="9">
        <f t="shared" si="12"/>
        <v>0</v>
      </c>
      <c r="H85" s="9">
        <f t="shared" si="13"/>
        <v>0</v>
      </c>
      <c r="I85" s="9">
        <f t="shared" si="14"/>
        <v>0</v>
      </c>
      <c r="J85" s="8"/>
      <c r="K85" s="9" t="str">
        <f t="shared" si="15"/>
        <v/>
      </c>
      <c r="L85" s="3"/>
    </row>
    <row r="86" spans="1:12">
      <c r="A86" s="17">
        <f t="shared" si="16"/>
        <v>46285</v>
      </c>
      <c r="B86" s="14">
        <f t="shared" si="17"/>
        <v>0</v>
      </c>
      <c r="C86" s="14">
        <f>SUMIFS(Orders!$M$5:$M$154,Orders!$B$5:$B$154,A86,Orders!$P$5:$P$154,"Cash",Orders!$Q$5:$Q$154,"Paid",Orders!$R$5:$R$154,"Completed")</f>
        <v>0</v>
      </c>
      <c r="D86" s="8"/>
      <c r="E86" s="14">
        <f>SUMIFS(Expenses!$J$5:$J$104,Expenses!$B$5:$B$104,A86,Expenses!$K$5:$K$104,"Cash",Expenses!$M$5:$M$104,"Paid")</f>
        <v>0</v>
      </c>
      <c r="F86" s="8"/>
      <c r="G86" s="9">
        <f t="shared" si="12"/>
        <v>0</v>
      </c>
      <c r="H86" s="9">
        <f t="shared" si="13"/>
        <v>0</v>
      </c>
      <c r="I86" s="9">
        <f t="shared" si="14"/>
        <v>0</v>
      </c>
      <c r="J86" s="8"/>
      <c r="K86" s="9" t="str">
        <f t="shared" si="15"/>
        <v/>
      </c>
      <c r="L86" s="3"/>
    </row>
    <row r="87" spans="1:12">
      <c r="A87" s="17">
        <f t="shared" si="16"/>
        <v>46286</v>
      </c>
      <c r="B87" s="14">
        <f t="shared" si="17"/>
        <v>0</v>
      </c>
      <c r="C87" s="14">
        <f>SUMIFS(Orders!$M$5:$M$154,Orders!$B$5:$B$154,A87,Orders!$P$5:$P$154,"Cash",Orders!$Q$5:$Q$154,"Paid",Orders!$R$5:$R$154,"Completed")</f>
        <v>0</v>
      </c>
      <c r="D87" s="8"/>
      <c r="E87" s="14">
        <f>SUMIFS(Expenses!$J$5:$J$104,Expenses!$B$5:$B$104,A87,Expenses!$K$5:$K$104,"Cash",Expenses!$M$5:$M$104,"Paid")</f>
        <v>0</v>
      </c>
      <c r="F87" s="8"/>
      <c r="G87" s="9">
        <f t="shared" si="12"/>
        <v>0</v>
      </c>
      <c r="H87" s="9">
        <f t="shared" si="13"/>
        <v>0</v>
      </c>
      <c r="I87" s="9">
        <f t="shared" si="14"/>
        <v>0</v>
      </c>
      <c r="J87" s="8"/>
      <c r="K87" s="9" t="str">
        <f t="shared" si="15"/>
        <v/>
      </c>
      <c r="L87" s="3"/>
    </row>
    <row r="88" spans="1:12">
      <c r="A88" s="17">
        <f t="shared" si="16"/>
        <v>46287</v>
      </c>
      <c r="B88" s="14">
        <f t="shared" si="17"/>
        <v>0</v>
      </c>
      <c r="C88" s="14">
        <f>SUMIFS(Orders!$M$5:$M$154,Orders!$B$5:$B$154,A88,Orders!$P$5:$P$154,"Cash",Orders!$Q$5:$Q$154,"Paid",Orders!$R$5:$R$154,"Completed")</f>
        <v>0</v>
      </c>
      <c r="D88" s="8"/>
      <c r="E88" s="14">
        <f>SUMIFS(Expenses!$J$5:$J$104,Expenses!$B$5:$B$104,A88,Expenses!$K$5:$K$104,"Cash",Expenses!$M$5:$M$104,"Paid")</f>
        <v>0</v>
      </c>
      <c r="F88" s="8"/>
      <c r="G88" s="9">
        <f t="shared" si="12"/>
        <v>0</v>
      </c>
      <c r="H88" s="9">
        <f t="shared" si="13"/>
        <v>0</v>
      </c>
      <c r="I88" s="9">
        <f t="shared" si="14"/>
        <v>0</v>
      </c>
      <c r="J88" s="8"/>
      <c r="K88" s="9" t="str">
        <f t="shared" si="15"/>
        <v/>
      </c>
      <c r="L88" s="3"/>
    </row>
    <row r="89" spans="1:12">
      <c r="A89" s="17">
        <f t="shared" si="16"/>
        <v>46288</v>
      </c>
      <c r="B89" s="14">
        <f t="shared" si="17"/>
        <v>0</v>
      </c>
      <c r="C89" s="14">
        <f>SUMIFS(Orders!$M$5:$M$154,Orders!$B$5:$B$154,A89,Orders!$P$5:$P$154,"Cash",Orders!$Q$5:$Q$154,"Paid",Orders!$R$5:$R$154,"Completed")</f>
        <v>0</v>
      </c>
      <c r="D89" s="8"/>
      <c r="E89" s="14">
        <f>SUMIFS(Expenses!$J$5:$J$104,Expenses!$B$5:$B$104,A89,Expenses!$K$5:$K$104,"Cash",Expenses!$M$5:$M$104,"Paid")</f>
        <v>0</v>
      </c>
      <c r="F89" s="8"/>
      <c r="G89" s="9">
        <f t="shared" si="12"/>
        <v>0</v>
      </c>
      <c r="H89" s="9">
        <f t="shared" si="13"/>
        <v>0</v>
      </c>
      <c r="I89" s="9">
        <f t="shared" si="14"/>
        <v>0</v>
      </c>
      <c r="J89" s="8"/>
      <c r="K89" s="9" t="str">
        <f t="shared" si="15"/>
        <v/>
      </c>
      <c r="L89" s="3"/>
    </row>
    <row r="90" spans="1:12">
      <c r="A90" s="17">
        <f t="shared" si="16"/>
        <v>46289</v>
      </c>
      <c r="B90" s="14">
        <f t="shared" si="17"/>
        <v>0</v>
      </c>
      <c r="C90" s="14">
        <f>SUMIFS(Orders!$M$5:$M$154,Orders!$B$5:$B$154,A90,Orders!$P$5:$P$154,"Cash",Orders!$Q$5:$Q$154,"Paid",Orders!$R$5:$R$154,"Completed")</f>
        <v>0</v>
      </c>
      <c r="D90" s="8"/>
      <c r="E90" s="14">
        <f>SUMIFS(Expenses!$J$5:$J$104,Expenses!$B$5:$B$104,A90,Expenses!$K$5:$K$104,"Cash",Expenses!$M$5:$M$104,"Paid")</f>
        <v>0</v>
      </c>
      <c r="F90" s="8"/>
      <c r="G90" s="9">
        <f t="shared" si="12"/>
        <v>0</v>
      </c>
      <c r="H90" s="9">
        <f t="shared" si="13"/>
        <v>0</v>
      </c>
      <c r="I90" s="9">
        <f t="shared" si="14"/>
        <v>0</v>
      </c>
      <c r="J90" s="8"/>
      <c r="K90" s="9" t="str">
        <f t="shared" si="15"/>
        <v/>
      </c>
      <c r="L90" s="3"/>
    </row>
    <row r="91" spans="1:12">
      <c r="A91" s="17">
        <f t="shared" si="16"/>
        <v>46290</v>
      </c>
      <c r="B91" s="14">
        <f t="shared" si="17"/>
        <v>0</v>
      </c>
      <c r="C91" s="14">
        <f>SUMIFS(Orders!$M$5:$M$154,Orders!$B$5:$B$154,A91,Orders!$P$5:$P$154,"Cash",Orders!$Q$5:$Q$154,"Paid",Orders!$R$5:$R$154,"Completed")</f>
        <v>0</v>
      </c>
      <c r="D91" s="8"/>
      <c r="E91" s="14">
        <f>SUMIFS(Expenses!$J$5:$J$104,Expenses!$B$5:$B$104,A91,Expenses!$K$5:$K$104,"Cash",Expenses!$M$5:$M$104,"Paid")</f>
        <v>0</v>
      </c>
      <c r="F91" s="8"/>
      <c r="G91" s="9">
        <f t="shared" si="12"/>
        <v>0</v>
      </c>
      <c r="H91" s="9">
        <f t="shared" si="13"/>
        <v>0</v>
      </c>
      <c r="I91" s="9">
        <f t="shared" si="14"/>
        <v>0</v>
      </c>
      <c r="J91" s="8"/>
      <c r="K91" s="9" t="str">
        <f t="shared" si="15"/>
        <v/>
      </c>
      <c r="L91" s="3"/>
    </row>
    <row r="92" spans="1:12">
      <c r="A92" s="17">
        <f t="shared" si="16"/>
        <v>46291</v>
      </c>
      <c r="B92" s="14">
        <f t="shared" si="17"/>
        <v>0</v>
      </c>
      <c r="C92" s="14">
        <f>SUMIFS(Orders!$M$5:$M$154,Orders!$B$5:$B$154,A92,Orders!$P$5:$P$154,"Cash",Orders!$Q$5:$Q$154,"Paid",Orders!$R$5:$R$154,"Completed")</f>
        <v>0</v>
      </c>
      <c r="D92" s="8"/>
      <c r="E92" s="14">
        <f>SUMIFS(Expenses!$J$5:$J$104,Expenses!$B$5:$B$104,A92,Expenses!$K$5:$K$104,"Cash",Expenses!$M$5:$M$104,"Paid")</f>
        <v>0</v>
      </c>
      <c r="F92" s="8"/>
      <c r="G92" s="9">
        <f t="shared" si="12"/>
        <v>0</v>
      </c>
      <c r="H92" s="9">
        <f t="shared" si="13"/>
        <v>0</v>
      </c>
      <c r="I92" s="9">
        <f t="shared" si="14"/>
        <v>0</v>
      </c>
      <c r="J92" s="8"/>
      <c r="K92" s="9" t="str">
        <f t="shared" si="15"/>
        <v/>
      </c>
      <c r="L92" s="3"/>
    </row>
    <row r="93" spans="1:12">
      <c r="A93" s="17">
        <f t="shared" si="16"/>
        <v>46292</v>
      </c>
      <c r="B93" s="14">
        <f t="shared" si="17"/>
        <v>0</v>
      </c>
      <c r="C93" s="14">
        <f>SUMIFS(Orders!$M$5:$M$154,Orders!$B$5:$B$154,A93,Orders!$P$5:$P$154,"Cash",Orders!$Q$5:$Q$154,"Paid",Orders!$R$5:$R$154,"Completed")</f>
        <v>0</v>
      </c>
      <c r="D93" s="8"/>
      <c r="E93" s="14">
        <f>SUMIFS(Expenses!$J$5:$J$104,Expenses!$B$5:$B$104,A93,Expenses!$K$5:$K$104,"Cash",Expenses!$M$5:$M$104,"Paid")</f>
        <v>0</v>
      </c>
      <c r="F93" s="8"/>
      <c r="G93" s="9">
        <f t="shared" si="12"/>
        <v>0</v>
      </c>
      <c r="H93" s="9">
        <f t="shared" si="13"/>
        <v>0</v>
      </c>
      <c r="I93" s="9">
        <f t="shared" si="14"/>
        <v>0</v>
      </c>
      <c r="J93" s="8"/>
      <c r="K93" s="9" t="str">
        <f t="shared" si="15"/>
        <v/>
      </c>
      <c r="L93" s="3"/>
    </row>
    <row r="94" spans="1:12">
      <c r="A94" s="17">
        <f t="shared" si="16"/>
        <v>46293</v>
      </c>
      <c r="B94" s="14">
        <f t="shared" si="17"/>
        <v>0</v>
      </c>
      <c r="C94" s="14">
        <f>SUMIFS(Orders!$M$5:$M$154,Orders!$B$5:$B$154,A94,Orders!$P$5:$P$154,"Cash",Orders!$Q$5:$Q$154,"Paid",Orders!$R$5:$R$154,"Completed")</f>
        <v>0</v>
      </c>
      <c r="D94" s="8"/>
      <c r="E94" s="14">
        <f>SUMIFS(Expenses!$J$5:$J$104,Expenses!$B$5:$B$104,A94,Expenses!$K$5:$K$104,"Cash",Expenses!$M$5:$M$104,"Paid")</f>
        <v>0</v>
      </c>
      <c r="F94" s="8"/>
      <c r="G94" s="9">
        <f t="shared" si="12"/>
        <v>0</v>
      </c>
      <c r="H94" s="9">
        <f t="shared" si="13"/>
        <v>0</v>
      </c>
      <c r="I94" s="9">
        <f t="shared" si="14"/>
        <v>0</v>
      </c>
      <c r="J94" s="8"/>
      <c r="K94" s="9" t="str">
        <f t="shared" si="15"/>
        <v/>
      </c>
      <c r="L94" s="3"/>
    </row>
    <row r="95" spans="1:12">
      <c r="A95" s="17">
        <f t="shared" si="16"/>
        <v>46294</v>
      </c>
      <c r="B95" s="14">
        <f t="shared" si="17"/>
        <v>0</v>
      </c>
      <c r="C95" s="14">
        <f>SUMIFS(Orders!$M$5:$M$154,Orders!$B$5:$B$154,A95,Orders!$P$5:$P$154,"Cash",Orders!$Q$5:$Q$154,"Paid",Orders!$R$5:$R$154,"Completed")</f>
        <v>0</v>
      </c>
      <c r="D95" s="8"/>
      <c r="E95" s="14">
        <f>SUMIFS(Expenses!$J$5:$J$104,Expenses!$B$5:$B$104,A95,Expenses!$K$5:$K$104,"Cash",Expenses!$M$5:$M$104,"Paid")</f>
        <v>0</v>
      </c>
      <c r="F95" s="8"/>
      <c r="G95" s="9">
        <f t="shared" si="12"/>
        <v>0</v>
      </c>
      <c r="H95" s="9">
        <f t="shared" si="13"/>
        <v>0</v>
      </c>
      <c r="I95" s="9">
        <f t="shared" si="14"/>
        <v>0</v>
      </c>
      <c r="J95" s="8"/>
      <c r="K95" s="9" t="str">
        <f t="shared" si="15"/>
        <v/>
      </c>
      <c r="L95" s="3"/>
    </row>
    <row r="96" spans="1:12">
      <c r="A96" s="17">
        <f t="shared" si="16"/>
        <v>46295</v>
      </c>
      <c r="B96" s="14">
        <f t="shared" si="17"/>
        <v>0</v>
      </c>
      <c r="C96" s="14">
        <f>SUMIFS(Orders!$M$5:$M$154,Orders!$B$5:$B$154,A96,Orders!$P$5:$P$154,"Cash",Orders!$Q$5:$Q$154,"Paid",Orders!$R$5:$R$154,"Completed")</f>
        <v>0</v>
      </c>
      <c r="D96" s="8"/>
      <c r="E96" s="14">
        <f>SUMIFS(Expenses!$J$5:$J$104,Expenses!$B$5:$B$104,A96,Expenses!$K$5:$K$104,"Cash",Expenses!$M$5:$M$104,"Paid")</f>
        <v>0</v>
      </c>
      <c r="F96" s="8"/>
      <c r="G96" s="9">
        <f t="shared" si="12"/>
        <v>0</v>
      </c>
      <c r="H96" s="9">
        <f t="shared" si="13"/>
        <v>0</v>
      </c>
      <c r="I96" s="9">
        <f t="shared" si="14"/>
        <v>0</v>
      </c>
      <c r="J96" s="8"/>
      <c r="K96" s="9" t="str">
        <f t="shared" si="15"/>
        <v/>
      </c>
      <c r="L96" s="3"/>
    </row>
    <row r="97" spans="1:12">
      <c r="A97" s="17">
        <f t="shared" si="16"/>
        <v>46296</v>
      </c>
      <c r="B97" s="14">
        <f t="shared" si="17"/>
        <v>0</v>
      </c>
      <c r="C97" s="14">
        <f>SUMIFS(Orders!$M$5:$M$154,Orders!$B$5:$B$154,A97,Orders!$P$5:$P$154,"Cash",Orders!$Q$5:$Q$154,"Paid",Orders!$R$5:$R$154,"Completed")</f>
        <v>0</v>
      </c>
      <c r="D97" s="8"/>
      <c r="E97" s="14">
        <f>SUMIFS(Expenses!$J$5:$J$104,Expenses!$B$5:$B$104,A97,Expenses!$K$5:$K$104,"Cash",Expenses!$M$5:$M$104,"Paid")</f>
        <v>0</v>
      </c>
      <c r="F97" s="8"/>
      <c r="G97" s="9">
        <f t="shared" si="12"/>
        <v>0</v>
      </c>
      <c r="H97" s="9">
        <f t="shared" si="13"/>
        <v>0</v>
      </c>
      <c r="I97" s="9">
        <f t="shared" si="14"/>
        <v>0</v>
      </c>
      <c r="J97" s="8"/>
      <c r="K97" s="9" t="str">
        <f t="shared" si="15"/>
        <v/>
      </c>
      <c r="L97" s="3"/>
    </row>
    <row r="98" spans="1:12">
      <c r="A98" s="17">
        <f t="shared" si="16"/>
        <v>46297</v>
      </c>
      <c r="B98" s="14">
        <f t="shared" si="17"/>
        <v>0</v>
      </c>
      <c r="C98" s="14">
        <f>SUMIFS(Orders!$M$5:$M$154,Orders!$B$5:$B$154,A98,Orders!$P$5:$P$154,"Cash",Orders!$Q$5:$Q$154,"Paid",Orders!$R$5:$R$154,"Completed")</f>
        <v>0</v>
      </c>
      <c r="D98" s="8"/>
      <c r="E98" s="14">
        <f>SUMIFS(Expenses!$J$5:$J$104,Expenses!$B$5:$B$104,A98,Expenses!$K$5:$K$104,"Cash",Expenses!$M$5:$M$104,"Paid")</f>
        <v>0</v>
      </c>
      <c r="F98" s="8"/>
      <c r="G98" s="9">
        <f t="shared" si="12"/>
        <v>0</v>
      </c>
      <c r="H98" s="9">
        <f t="shared" si="13"/>
        <v>0</v>
      </c>
      <c r="I98" s="9">
        <f t="shared" si="14"/>
        <v>0</v>
      </c>
      <c r="J98" s="8"/>
      <c r="K98" s="9" t="str">
        <f t="shared" si="15"/>
        <v/>
      </c>
      <c r="L98" s="3"/>
    </row>
    <row r="99" spans="1:12">
      <c r="A99" s="17">
        <f t="shared" si="16"/>
        <v>46298</v>
      </c>
      <c r="B99" s="14">
        <f t="shared" si="17"/>
        <v>0</v>
      </c>
      <c r="C99" s="14">
        <f>SUMIFS(Orders!$M$5:$M$154,Orders!$B$5:$B$154,A99,Orders!$P$5:$P$154,"Cash",Orders!$Q$5:$Q$154,"Paid",Orders!$R$5:$R$154,"Completed")</f>
        <v>0</v>
      </c>
      <c r="D99" s="8"/>
      <c r="E99" s="14">
        <f>SUMIFS(Expenses!$J$5:$J$104,Expenses!$B$5:$B$104,A99,Expenses!$K$5:$K$104,"Cash",Expenses!$M$5:$M$104,"Paid")</f>
        <v>0</v>
      </c>
      <c r="F99" s="8"/>
      <c r="G99" s="9">
        <f t="shared" si="12"/>
        <v>0</v>
      </c>
      <c r="H99" s="9">
        <f t="shared" si="13"/>
        <v>0</v>
      </c>
      <c r="I99" s="9">
        <f t="shared" si="14"/>
        <v>0</v>
      </c>
      <c r="J99" s="8"/>
      <c r="K99" s="9" t="str">
        <f t="shared" si="15"/>
        <v/>
      </c>
      <c r="L99" s="3"/>
    </row>
    <row r="100" spans="1:12">
      <c r="A100" s="17">
        <f t="shared" si="16"/>
        <v>46299</v>
      </c>
      <c r="B100" s="14">
        <f t="shared" si="17"/>
        <v>0</v>
      </c>
      <c r="C100" s="14">
        <f>SUMIFS(Orders!$M$5:$M$154,Orders!$B$5:$B$154,A100,Orders!$P$5:$P$154,"Cash",Orders!$Q$5:$Q$154,"Paid",Orders!$R$5:$R$154,"Completed")</f>
        <v>0</v>
      </c>
      <c r="D100" s="8"/>
      <c r="E100" s="14">
        <f>SUMIFS(Expenses!$J$5:$J$104,Expenses!$B$5:$B$104,A100,Expenses!$K$5:$K$104,"Cash",Expenses!$M$5:$M$104,"Paid")</f>
        <v>0</v>
      </c>
      <c r="F100" s="8"/>
      <c r="G100" s="9">
        <f t="shared" si="12"/>
        <v>0</v>
      </c>
      <c r="H100" s="9">
        <f t="shared" si="13"/>
        <v>0</v>
      </c>
      <c r="I100" s="9">
        <f t="shared" si="14"/>
        <v>0</v>
      </c>
      <c r="J100" s="8"/>
      <c r="K100" s="9" t="str">
        <f t="shared" si="15"/>
        <v/>
      </c>
      <c r="L100" s="3"/>
    </row>
    <row r="101" spans="1:12">
      <c r="A101" s="17">
        <f t="shared" si="16"/>
        <v>46300</v>
      </c>
      <c r="B101" s="14">
        <f t="shared" si="17"/>
        <v>0</v>
      </c>
      <c r="C101" s="14">
        <f>SUMIFS(Orders!$M$5:$M$154,Orders!$B$5:$B$154,A101,Orders!$P$5:$P$154,"Cash",Orders!$Q$5:$Q$154,"Paid",Orders!$R$5:$R$154,"Completed")</f>
        <v>0</v>
      </c>
      <c r="D101" s="8"/>
      <c r="E101" s="14">
        <f>SUMIFS(Expenses!$J$5:$J$104,Expenses!$B$5:$B$104,A101,Expenses!$K$5:$K$104,"Cash",Expenses!$M$5:$M$104,"Paid")</f>
        <v>0</v>
      </c>
      <c r="F101" s="8"/>
      <c r="G101" s="9">
        <f t="shared" ref="G101:G132" si="18">C101+IF(D101="",0,D101)</f>
        <v>0</v>
      </c>
      <c r="H101" s="9">
        <f t="shared" ref="H101:H132" si="19">E101+IF(F101="",0,F101)</f>
        <v>0</v>
      </c>
      <c r="I101" s="9">
        <f t="shared" ref="I101:I132" si="20">B101+G101-H101</f>
        <v>0</v>
      </c>
      <c r="J101" s="8"/>
      <c r="K101" s="9" t="str">
        <f t="shared" ref="K101:K132" si="21">IF(J101="","",J101-I101)</f>
        <v/>
      </c>
      <c r="L101" s="3"/>
    </row>
    <row r="102" spans="1:12">
      <c r="A102" s="17">
        <f t="shared" ref="A102:A133" si="22">A101+1</f>
        <v>46301</v>
      </c>
      <c r="B102" s="14">
        <f t="shared" ref="B102:B133" si="23">IF(J101&lt;&gt;"",J101,I101)</f>
        <v>0</v>
      </c>
      <c r="C102" s="14">
        <f>SUMIFS(Orders!$M$5:$M$154,Orders!$B$5:$B$154,A102,Orders!$P$5:$P$154,"Cash",Orders!$Q$5:$Q$154,"Paid",Orders!$R$5:$R$154,"Completed")</f>
        <v>0</v>
      </c>
      <c r="D102" s="8"/>
      <c r="E102" s="14">
        <f>SUMIFS(Expenses!$J$5:$J$104,Expenses!$B$5:$B$104,A102,Expenses!$K$5:$K$104,"Cash",Expenses!$M$5:$M$104,"Paid")</f>
        <v>0</v>
      </c>
      <c r="F102" s="8"/>
      <c r="G102" s="9">
        <f t="shared" si="18"/>
        <v>0</v>
      </c>
      <c r="H102" s="9">
        <f t="shared" si="19"/>
        <v>0</v>
      </c>
      <c r="I102" s="9">
        <f t="shared" si="20"/>
        <v>0</v>
      </c>
      <c r="J102" s="8"/>
      <c r="K102" s="9" t="str">
        <f t="shared" si="21"/>
        <v/>
      </c>
      <c r="L102" s="3"/>
    </row>
    <row r="103" spans="1:12">
      <c r="A103" s="17">
        <f t="shared" si="22"/>
        <v>46302</v>
      </c>
      <c r="B103" s="14">
        <f t="shared" si="23"/>
        <v>0</v>
      </c>
      <c r="C103" s="14">
        <f>SUMIFS(Orders!$M$5:$M$154,Orders!$B$5:$B$154,A103,Orders!$P$5:$P$154,"Cash",Orders!$Q$5:$Q$154,"Paid",Orders!$R$5:$R$154,"Completed")</f>
        <v>0</v>
      </c>
      <c r="D103" s="8"/>
      <c r="E103" s="14">
        <f>SUMIFS(Expenses!$J$5:$J$104,Expenses!$B$5:$B$104,A103,Expenses!$K$5:$K$104,"Cash",Expenses!$M$5:$M$104,"Paid")</f>
        <v>0</v>
      </c>
      <c r="F103" s="8"/>
      <c r="G103" s="9">
        <f t="shared" si="18"/>
        <v>0</v>
      </c>
      <c r="H103" s="9">
        <f t="shared" si="19"/>
        <v>0</v>
      </c>
      <c r="I103" s="9">
        <f t="shared" si="20"/>
        <v>0</v>
      </c>
      <c r="J103" s="8"/>
      <c r="K103" s="9" t="str">
        <f t="shared" si="21"/>
        <v/>
      </c>
      <c r="L103" s="3"/>
    </row>
    <row r="104" spans="1:12">
      <c r="A104" s="17">
        <f t="shared" si="22"/>
        <v>46303</v>
      </c>
      <c r="B104" s="14">
        <f t="shared" si="23"/>
        <v>0</v>
      </c>
      <c r="C104" s="14">
        <f>SUMIFS(Orders!$M$5:$M$154,Orders!$B$5:$B$154,A104,Orders!$P$5:$P$154,"Cash",Orders!$Q$5:$Q$154,"Paid",Orders!$R$5:$R$154,"Completed")</f>
        <v>0</v>
      </c>
      <c r="D104" s="8"/>
      <c r="E104" s="14">
        <f>SUMIFS(Expenses!$J$5:$J$104,Expenses!$B$5:$B$104,A104,Expenses!$K$5:$K$104,"Cash",Expenses!$M$5:$M$104,"Paid")</f>
        <v>0</v>
      </c>
      <c r="F104" s="8"/>
      <c r="G104" s="9">
        <f t="shared" si="18"/>
        <v>0</v>
      </c>
      <c r="H104" s="9">
        <f t="shared" si="19"/>
        <v>0</v>
      </c>
      <c r="I104" s="9">
        <f t="shared" si="20"/>
        <v>0</v>
      </c>
      <c r="J104" s="8"/>
      <c r="K104" s="9" t="str">
        <f t="shared" si="21"/>
        <v/>
      </c>
      <c r="L104" s="3"/>
    </row>
    <row r="105" spans="1:12">
      <c r="A105" s="17">
        <f t="shared" si="22"/>
        <v>46304</v>
      </c>
      <c r="B105" s="14">
        <f t="shared" si="23"/>
        <v>0</v>
      </c>
      <c r="C105" s="14">
        <f>SUMIFS(Orders!$M$5:$M$154,Orders!$B$5:$B$154,A105,Orders!$P$5:$P$154,"Cash",Orders!$Q$5:$Q$154,"Paid",Orders!$R$5:$R$154,"Completed")</f>
        <v>0</v>
      </c>
      <c r="D105" s="8"/>
      <c r="E105" s="14">
        <f>SUMIFS(Expenses!$J$5:$J$104,Expenses!$B$5:$B$104,A105,Expenses!$K$5:$K$104,"Cash",Expenses!$M$5:$M$104,"Paid")</f>
        <v>0</v>
      </c>
      <c r="F105" s="8"/>
      <c r="G105" s="9">
        <f t="shared" si="18"/>
        <v>0</v>
      </c>
      <c r="H105" s="9">
        <f t="shared" si="19"/>
        <v>0</v>
      </c>
      <c r="I105" s="9">
        <f t="shared" si="20"/>
        <v>0</v>
      </c>
      <c r="J105" s="8"/>
      <c r="K105" s="9" t="str">
        <f t="shared" si="21"/>
        <v/>
      </c>
      <c r="L105" s="3"/>
    </row>
    <row r="106" spans="1:12">
      <c r="A106" s="17">
        <f t="shared" si="22"/>
        <v>46305</v>
      </c>
      <c r="B106" s="14">
        <f t="shared" si="23"/>
        <v>0</v>
      </c>
      <c r="C106" s="14">
        <f>SUMIFS(Orders!$M$5:$M$154,Orders!$B$5:$B$154,A106,Orders!$P$5:$P$154,"Cash",Orders!$Q$5:$Q$154,"Paid",Orders!$R$5:$R$154,"Completed")</f>
        <v>0</v>
      </c>
      <c r="D106" s="8"/>
      <c r="E106" s="14">
        <f>SUMIFS(Expenses!$J$5:$J$104,Expenses!$B$5:$B$104,A106,Expenses!$K$5:$K$104,"Cash",Expenses!$M$5:$M$104,"Paid")</f>
        <v>0</v>
      </c>
      <c r="F106" s="8"/>
      <c r="G106" s="9">
        <f t="shared" si="18"/>
        <v>0</v>
      </c>
      <c r="H106" s="9">
        <f t="shared" si="19"/>
        <v>0</v>
      </c>
      <c r="I106" s="9">
        <f t="shared" si="20"/>
        <v>0</v>
      </c>
      <c r="J106" s="8"/>
      <c r="K106" s="9" t="str">
        <f t="shared" si="21"/>
        <v/>
      </c>
      <c r="L106" s="3"/>
    </row>
    <row r="107" spans="1:12">
      <c r="A107" s="17">
        <f t="shared" si="22"/>
        <v>46306</v>
      </c>
      <c r="B107" s="14">
        <f t="shared" si="23"/>
        <v>0</v>
      </c>
      <c r="C107" s="14">
        <f>SUMIFS(Orders!$M$5:$M$154,Orders!$B$5:$B$154,A107,Orders!$P$5:$P$154,"Cash",Orders!$Q$5:$Q$154,"Paid",Orders!$R$5:$R$154,"Completed")</f>
        <v>0</v>
      </c>
      <c r="D107" s="8"/>
      <c r="E107" s="14">
        <f>SUMIFS(Expenses!$J$5:$J$104,Expenses!$B$5:$B$104,A107,Expenses!$K$5:$K$104,"Cash",Expenses!$M$5:$M$104,"Paid")</f>
        <v>0</v>
      </c>
      <c r="F107" s="8"/>
      <c r="G107" s="9">
        <f t="shared" si="18"/>
        <v>0</v>
      </c>
      <c r="H107" s="9">
        <f t="shared" si="19"/>
        <v>0</v>
      </c>
      <c r="I107" s="9">
        <f t="shared" si="20"/>
        <v>0</v>
      </c>
      <c r="J107" s="8"/>
      <c r="K107" s="9" t="str">
        <f t="shared" si="21"/>
        <v/>
      </c>
      <c r="L107" s="3"/>
    </row>
    <row r="108" spans="1:12">
      <c r="A108" s="17">
        <f t="shared" si="22"/>
        <v>46307</v>
      </c>
      <c r="B108" s="14">
        <f t="shared" si="23"/>
        <v>0</v>
      </c>
      <c r="C108" s="14">
        <f>SUMIFS(Orders!$M$5:$M$154,Orders!$B$5:$B$154,A108,Orders!$P$5:$P$154,"Cash",Orders!$Q$5:$Q$154,"Paid",Orders!$R$5:$R$154,"Completed")</f>
        <v>0</v>
      </c>
      <c r="D108" s="8"/>
      <c r="E108" s="14">
        <f>SUMIFS(Expenses!$J$5:$J$104,Expenses!$B$5:$B$104,A108,Expenses!$K$5:$K$104,"Cash",Expenses!$M$5:$M$104,"Paid")</f>
        <v>0</v>
      </c>
      <c r="F108" s="8"/>
      <c r="G108" s="9">
        <f t="shared" si="18"/>
        <v>0</v>
      </c>
      <c r="H108" s="9">
        <f t="shared" si="19"/>
        <v>0</v>
      </c>
      <c r="I108" s="9">
        <f t="shared" si="20"/>
        <v>0</v>
      </c>
      <c r="J108" s="8"/>
      <c r="K108" s="9" t="str">
        <f t="shared" si="21"/>
        <v/>
      </c>
      <c r="L108" s="3"/>
    </row>
    <row r="109" spans="1:12">
      <c r="A109" s="17">
        <f t="shared" si="22"/>
        <v>46308</v>
      </c>
      <c r="B109" s="14">
        <f t="shared" si="23"/>
        <v>0</v>
      </c>
      <c r="C109" s="14">
        <f>SUMIFS(Orders!$M$5:$M$154,Orders!$B$5:$B$154,A109,Orders!$P$5:$P$154,"Cash",Orders!$Q$5:$Q$154,"Paid",Orders!$R$5:$R$154,"Completed")</f>
        <v>0</v>
      </c>
      <c r="D109" s="8"/>
      <c r="E109" s="14">
        <f>SUMIFS(Expenses!$J$5:$J$104,Expenses!$B$5:$B$104,A109,Expenses!$K$5:$K$104,"Cash",Expenses!$M$5:$M$104,"Paid")</f>
        <v>0</v>
      </c>
      <c r="F109" s="8"/>
      <c r="G109" s="9">
        <f t="shared" si="18"/>
        <v>0</v>
      </c>
      <c r="H109" s="9">
        <f t="shared" si="19"/>
        <v>0</v>
      </c>
      <c r="I109" s="9">
        <f t="shared" si="20"/>
        <v>0</v>
      </c>
      <c r="J109" s="8"/>
      <c r="K109" s="9" t="str">
        <f t="shared" si="21"/>
        <v/>
      </c>
      <c r="L109" s="3"/>
    </row>
    <row r="110" spans="1:12">
      <c r="A110" s="17">
        <f t="shared" si="22"/>
        <v>46309</v>
      </c>
      <c r="B110" s="14">
        <f t="shared" si="23"/>
        <v>0</v>
      </c>
      <c r="C110" s="14">
        <f>SUMIFS(Orders!$M$5:$M$154,Orders!$B$5:$B$154,A110,Orders!$P$5:$P$154,"Cash",Orders!$Q$5:$Q$154,"Paid",Orders!$R$5:$R$154,"Completed")</f>
        <v>0</v>
      </c>
      <c r="D110" s="8"/>
      <c r="E110" s="14">
        <f>SUMIFS(Expenses!$J$5:$J$104,Expenses!$B$5:$B$104,A110,Expenses!$K$5:$K$104,"Cash",Expenses!$M$5:$M$104,"Paid")</f>
        <v>0</v>
      </c>
      <c r="F110" s="8"/>
      <c r="G110" s="9">
        <f t="shared" si="18"/>
        <v>0</v>
      </c>
      <c r="H110" s="9">
        <f t="shared" si="19"/>
        <v>0</v>
      </c>
      <c r="I110" s="9">
        <f t="shared" si="20"/>
        <v>0</v>
      </c>
      <c r="J110" s="8"/>
      <c r="K110" s="9" t="str">
        <f t="shared" si="21"/>
        <v/>
      </c>
      <c r="L110" s="3"/>
    </row>
    <row r="111" spans="1:12">
      <c r="A111" s="17">
        <f t="shared" si="22"/>
        <v>46310</v>
      </c>
      <c r="B111" s="14">
        <f t="shared" si="23"/>
        <v>0</v>
      </c>
      <c r="C111" s="14">
        <f>SUMIFS(Orders!$M$5:$M$154,Orders!$B$5:$B$154,A111,Orders!$P$5:$P$154,"Cash",Orders!$Q$5:$Q$154,"Paid",Orders!$R$5:$R$154,"Completed")</f>
        <v>0</v>
      </c>
      <c r="D111" s="8"/>
      <c r="E111" s="14">
        <f>SUMIFS(Expenses!$J$5:$J$104,Expenses!$B$5:$B$104,A111,Expenses!$K$5:$K$104,"Cash",Expenses!$M$5:$M$104,"Paid")</f>
        <v>0</v>
      </c>
      <c r="F111" s="8"/>
      <c r="G111" s="9">
        <f t="shared" si="18"/>
        <v>0</v>
      </c>
      <c r="H111" s="9">
        <f t="shared" si="19"/>
        <v>0</v>
      </c>
      <c r="I111" s="9">
        <f t="shared" si="20"/>
        <v>0</v>
      </c>
      <c r="J111" s="8"/>
      <c r="K111" s="9" t="str">
        <f t="shared" si="21"/>
        <v/>
      </c>
      <c r="L111" s="3"/>
    </row>
    <row r="112" spans="1:12">
      <c r="A112" s="17">
        <f t="shared" si="22"/>
        <v>46311</v>
      </c>
      <c r="B112" s="14">
        <f t="shared" si="23"/>
        <v>0</v>
      </c>
      <c r="C112" s="14">
        <f>SUMIFS(Orders!$M$5:$M$154,Orders!$B$5:$B$154,A112,Orders!$P$5:$P$154,"Cash",Orders!$Q$5:$Q$154,"Paid",Orders!$R$5:$R$154,"Completed")</f>
        <v>0</v>
      </c>
      <c r="D112" s="8"/>
      <c r="E112" s="14">
        <f>SUMIFS(Expenses!$J$5:$J$104,Expenses!$B$5:$B$104,A112,Expenses!$K$5:$K$104,"Cash",Expenses!$M$5:$M$104,"Paid")</f>
        <v>0</v>
      </c>
      <c r="F112" s="8"/>
      <c r="G112" s="9">
        <f t="shared" si="18"/>
        <v>0</v>
      </c>
      <c r="H112" s="9">
        <f t="shared" si="19"/>
        <v>0</v>
      </c>
      <c r="I112" s="9">
        <f t="shared" si="20"/>
        <v>0</v>
      </c>
      <c r="J112" s="8"/>
      <c r="K112" s="9" t="str">
        <f t="shared" si="21"/>
        <v/>
      </c>
      <c r="L112" s="3"/>
    </row>
    <row r="113" spans="1:12">
      <c r="A113" s="17">
        <f t="shared" si="22"/>
        <v>46312</v>
      </c>
      <c r="B113" s="14">
        <f t="shared" si="23"/>
        <v>0</v>
      </c>
      <c r="C113" s="14">
        <f>SUMIFS(Orders!$M$5:$M$154,Orders!$B$5:$B$154,A113,Orders!$P$5:$P$154,"Cash",Orders!$Q$5:$Q$154,"Paid",Orders!$R$5:$R$154,"Completed")</f>
        <v>0</v>
      </c>
      <c r="D113" s="8"/>
      <c r="E113" s="14">
        <f>SUMIFS(Expenses!$J$5:$J$104,Expenses!$B$5:$B$104,A113,Expenses!$K$5:$K$104,"Cash",Expenses!$M$5:$M$104,"Paid")</f>
        <v>0</v>
      </c>
      <c r="F113" s="8"/>
      <c r="G113" s="9">
        <f t="shared" si="18"/>
        <v>0</v>
      </c>
      <c r="H113" s="9">
        <f t="shared" si="19"/>
        <v>0</v>
      </c>
      <c r="I113" s="9">
        <f t="shared" si="20"/>
        <v>0</v>
      </c>
      <c r="J113" s="8"/>
      <c r="K113" s="9" t="str">
        <f t="shared" si="21"/>
        <v/>
      </c>
      <c r="L113" s="3"/>
    </row>
    <row r="114" spans="1:12">
      <c r="A114" s="17">
        <f t="shared" si="22"/>
        <v>46313</v>
      </c>
      <c r="B114" s="14">
        <f t="shared" si="23"/>
        <v>0</v>
      </c>
      <c r="C114" s="14">
        <f>SUMIFS(Orders!$M$5:$M$154,Orders!$B$5:$B$154,A114,Orders!$P$5:$P$154,"Cash",Orders!$Q$5:$Q$154,"Paid",Orders!$R$5:$R$154,"Completed")</f>
        <v>0</v>
      </c>
      <c r="D114" s="8"/>
      <c r="E114" s="14">
        <f>SUMIFS(Expenses!$J$5:$J$104,Expenses!$B$5:$B$104,A114,Expenses!$K$5:$K$104,"Cash",Expenses!$M$5:$M$104,"Paid")</f>
        <v>0</v>
      </c>
      <c r="F114" s="8"/>
      <c r="G114" s="9">
        <f t="shared" si="18"/>
        <v>0</v>
      </c>
      <c r="H114" s="9">
        <f t="shared" si="19"/>
        <v>0</v>
      </c>
      <c r="I114" s="9">
        <f t="shared" si="20"/>
        <v>0</v>
      </c>
      <c r="J114" s="8"/>
      <c r="K114" s="9" t="str">
        <f t="shared" si="21"/>
        <v/>
      </c>
      <c r="L114" s="3"/>
    </row>
    <row r="115" spans="1:12">
      <c r="A115" s="17">
        <f t="shared" si="22"/>
        <v>46314</v>
      </c>
      <c r="B115" s="14">
        <f t="shared" si="23"/>
        <v>0</v>
      </c>
      <c r="C115" s="14">
        <f>SUMIFS(Orders!$M$5:$M$154,Orders!$B$5:$B$154,A115,Orders!$P$5:$P$154,"Cash",Orders!$Q$5:$Q$154,"Paid",Orders!$R$5:$R$154,"Completed")</f>
        <v>0</v>
      </c>
      <c r="D115" s="8"/>
      <c r="E115" s="14">
        <f>SUMIFS(Expenses!$J$5:$J$104,Expenses!$B$5:$B$104,A115,Expenses!$K$5:$K$104,"Cash",Expenses!$M$5:$M$104,"Paid")</f>
        <v>0</v>
      </c>
      <c r="F115" s="8"/>
      <c r="G115" s="9">
        <f t="shared" si="18"/>
        <v>0</v>
      </c>
      <c r="H115" s="9">
        <f t="shared" si="19"/>
        <v>0</v>
      </c>
      <c r="I115" s="9">
        <f t="shared" si="20"/>
        <v>0</v>
      </c>
      <c r="J115" s="8"/>
      <c r="K115" s="9" t="str">
        <f t="shared" si="21"/>
        <v/>
      </c>
      <c r="L115" s="3"/>
    </row>
    <row r="116" spans="1:12">
      <c r="A116" s="17">
        <f t="shared" si="22"/>
        <v>46315</v>
      </c>
      <c r="B116" s="14">
        <f t="shared" si="23"/>
        <v>0</v>
      </c>
      <c r="C116" s="14">
        <f>SUMIFS(Orders!$M$5:$M$154,Orders!$B$5:$B$154,A116,Orders!$P$5:$P$154,"Cash",Orders!$Q$5:$Q$154,"Paid",Orders!$R$5:$R$154,"Completed")</f>
        <v>0</v>
      </c>
      <c r="D116" s="8"/>
      <c r="E116" s="14">
        <f>SUMIFS(Expenses!$J$5:$J$104,Expenses!$B$5:$B$104,A116,Expenses!$K$5:$K$104,"Cash",Expenses!$M$5:$M$104,"Paid")</f>
        <v>0</v>
      </c>
      <c r="F116" s="8"/>
      <c r="G116" s="9">
        <f t="shared" si="18"/>
        <v>0</v>
      </c>
      <c r="H116" s="9">
        <f t="shared" si="19"/>
        <v>0</v>
      </c>
      <c r="I116" s="9">
        <f t="shared" si="20"/>
        <v>0</v>
      </c>
      <c r="J116" s="8"/>
      <c r="K116" s="9" t="str">
        <f t="shared" si="21"/>
        <v/>
      </c>
      <c r="L116" s="3"/>
    </row>
    <row r="117" spans="1:12">
      <c r="A117" s="17">
        <f t="shared" si="22"/>
        <v>46316</v>
      </c>
      <c r="B117" s="14">
        <f t="shared" si="23"/>
        <v>0</v>
      </c>
      <c r="C117" s="14">
        <f>SUMIFS(Orders!$M$5:$M$154,Orders!$B$5:$B$154,A117,Orders!$P$5:$P$154,"Cash",Orders!$Q$5:$Q$154,"Paid",Orders!$R$5:$R$154,"Completed")</f>
        <v>0</v>
      </c>
      <c r="D117" s="8"/>
      <c r="E117" s="14">
        <f>SUMIFS(Expenses!$J$5:$J$104,Expenses!$B$5:$B$104,A117,Expenses!$K$5:$K$104,"Cash",Expenses!$M$5:$M$104,"Paid")</f>
        <v>0</v>
      </c>
      <c r="F117" s="8"/>
      <c r="G117" s="9">
        <f t="shared" si="18"/>
        <v>0</v>
      </c>
      <c r="H117" s="9">
        <f t="shared" si="19"/>
        <v>0</v>
      </c>
      <c r="I117" s="9">
        <f t="shared" si="20"/>
        <v>0</v>
      </c>
      <c r="J117" s="8"/>
      <c r="K117" s="9" t="str">
        <f t="shared" si="21"/>
        <v/>
      </c>
      <c r="L117" s="3"/>
    </row>
    <row r="118" spans="1:12">
      <c r="A118" s="17">
        <f t="shared" si="22"/>
        <v>46317</v>
      </c>
      <c r="B118" s="14">
        <f t="shared" si="23"/>
        <v>0</v>
      </c>
      <c r="C118" s="14">
        <f>SUMIFS(Orders!$M$5:$M$154,Orders!$B$5:$B$154,A118,Orders!$P$5:$P$154,"Cash",Orders!$Q$5:$Q$154,"Paid",Orders!$R$5:$R$154,"Completed")</f>
        <v>0</v>
      </c>
      <c r="D118" s="8"/>
      <c r="E118" s="14">
        <f>SUMIFS(Expenses!$J$5:$J$104,Expenses!$B$5:$B$104,A118,Expenses!$K$5:$K$104,"Cash",Expenses!$M$5:$M$104,"Paid")</f>
        <v>0</v>
      </c>
      <c r="F118" s="8"/>
      <c r="G118" s="9">
        <f t="shared" si="18"/>
        <v>0</v>
      </c>
      <c r="H118" s="9">
        <f t="shared" si="19"/>
        <v>0</v>
      </c>
      <c r="I118" s="9">
        <f t="shared" si="20"/>
        <v>0</v>
      </c>
      <c r="J118" s="8"/>
      <c r="K118" s="9" t="str">
        <f t="shared" si="21"/>
        <v/>
      </c>
      <c r="L118" s="3"/>
    </row>
    <row r="119" spans="1:12">
      <c r="A119" s="17">
        <f t="shared" si="22"/>
        <v>46318</v>
      </c>
      <c r="B119" s="14">
        <f t="shared" si="23"/>
        <v>0</v>
      </c>
      <c r="C119" s="14">
        <f>SUMIFS(Orders!$M$5:$M$154,Orders!$B$5:$B$154,A119,Orders!$P$5:$P$154,"Cash",Orders!$Q$5:$Q$154,"Paid",Orders!$R$5:$R$154,"Completed")</f>
        <v>0</v>
      </c>
      <c r="D119" s="8"/>
      <c r="E119" s="14">
        <f>SUMIFS(Expenses!$J$5:$J$104,Expenses!$B$5:$B$104,A119,Expenses!$K$5:$K$104,"Cash",Expenses!$M$5:$M$104,"Paid")</f>
        <v>0</v>
      </c>
      <c r="F119" s="8"/>
      <c r="G119" s="9">
        <f t="shared" si="18"/>
        <v>0</v>
      </c>
      <c r="H119" s="9">
        <f t="shared" si="19"/>
        <v>0</v>
      </c>
      <c r="I119" s="9">
        <f t="shared" si="20"/>
        <v>0</v>
      </c>
      <c r="J119" s="8"/>
      <c r="K119" s="9" t="str">
        <f t="shared" si="21"/>
        <v/>
      </c>
      <c r="L119" s="3"/>
    </row>
    <row r="120" spans="1:12">
      <c r="A120" s="17">
        <f t="shared" si="22"/>
        <v>46319</v>
      </c>
      <c r="B120" s="14">
        <f t="shared" si="23"/>
        <v>0</v>
      </c>
      <c r="C120" s="14">
        <f>SUMIFS(Orders!$M$5:$M$154,Orders!$B$5:$B$154,A120,Orders!$P$5:$P$154,"Cash",Orders!$Q$5:$Q$154,"Paid",Orders!$R$5:$R$154,"Completed")</f>
        <v>0</v>
      </c>
      <c r="D120" s="8"/>
      <c r="E120" s="14">
        <f>SUMIFS(Expenses!$J$5:$J$104,Expenses!$B$5:$B$104,A120,Expenses!$K$5:$K$104,"Cash",Expenses!$M$5:$M$104,"Paid")</f>
        <v>0</v>
      </c>
      <c r="F120" s="8"/>
      <c r="G120" s="9">
        <f t="shared" si="18"/>
        <v>0</v>
      </c>
      <c r="H120" s="9">
        <f t="shared" si="19"/>
        <v>0</v>
      </c>
      <c r="I120" s="9">
        <f t="shared" si="20"/>
        <v>0</v>
      </c>
      <c r="J120" s="8"/>
      <c r="K120" s="9" t="str">
        <f t="shared" si="21"/>
        <v/>
      </c>
      <c r="L120" s="3"/>
    </row>
    <row r="121" spans="1:12">
      <c r="A121" s="17">
        <f t="shared" si="22"/>
        <v>46320</v>
      </c>
      <c r="B121" s="14">
        <f t="shared" si="23"/>
        <v>0</v>
      </c>
      <c r="C121" s="14">
        <f>SUMIFS(Orders!$M$5:$M$154,Orders!$B$5:$B$154,A121,Orders!$P$5:$P$154,"Cash",Orders!$Q$5:$Q$154,"Paid",Orders!$R$5:$R$154,"Completed")</f>
        <v>0</v>
      </c>
      <c r="D121" s="8"/>
      <c r="E121" s="14">
        <f>SUMIFS(Expenses!$J$5:$J$104,Expenses!$B$5:$B$104,A121,Expenses!$K$5:$K$104,"Cash",Expenses!$M$5:$M$104,"Paid")</f>
        <v>0</v>
      </c>
      <c r="F121" s="8"/>
      <c r="G121" s="9">
        <f t="shared" si="18"/>
        <v>0</v>
      </c>
      <c r="H121" s="9">
        <f t="shared" si="19"/>
        <v>0</v>
      </c>
      <c r="I121" s="9">
        <f t="shared" si="20"/>
        <v>0</v>
      </c>
      <c r="J121" s="8"/>
      <c r="K121" s="9" t="str">
        <f t="shared" si="21"/>
        <v/>
      </c>
      <c r="L121" s="3"/>
    </row>
    <row r="122" spans="1:12">
      <c r="A122" s="17">
        <f t="shared" si="22"/>
        <v>46321</v>
      </c>
      <c r="B122" s="14">
        <f t="shared" si="23"/>
        <v>0</v>
      </c>
      <c r="C122" s="14">
        <f>SUMIFS(Orders!$M$5:$M$154,Orders!$B$5:$B$154,A122,Orders!$P$5:$P$154,"Cash",Orders!$Q$5:$Q$154,"Paid",Orders!$R$5:$R$154,"Completed")</f>
        <v>0</v>
      </c>
      <c r="D122" s="8"/>
      <c r="E122" s="14">
        <f>SUMIFS(Expenses!$J$5:$J$104,Expenses!$B$5:$B$104,A122,Expenses!$K$5:$K$104,"Cash",Expenses!$M$5:$M$104,"Paid")</f>
        <v>0</v>
      </c>
      <c r="F122" s="8"/>
      <c r="G122" s="9">
        <f t="shared" si="18"/>
        <v>0</v>
      </c>
      <c r="H122" s="9">
        <f t="shared" si="19"/>
        <v>0</v>
      </c>
      <c r="I122" s="9">
        <f t="shared" si="20"/>
        <v>0</v>
      </c>
      <c r="J122" s="8"/>
      <c r="K122" s="9" t="str">
        <f t="shared" si="21"/>
        <v/>
      </c>
      <c r="L122" s="3"/>
    </row>
    <row r="123" spans="1:12">
      <c r="A123" s="17">
        <f t="shared" si="22"/>
        <v>46322</v>
      </c>
      <c r="B123" s="14">
        <f t="shared" si="23"/>
        <v>0</v>
      </c>
      <c r="C123" s="14">
        <f>SUMIFS(Orders!$M$5:$M$154,Orders!$B$5:$B$154,A123,Orders!$P$5:$P$154,"Cash",Orders!$Q$5:$Q$154,"Paid",Orders!$R$5:$R$154,"Completed")</f>
        <v>0</v>
      </c>
      <c r="D123" s="8"/>
      <c r="E123" s="14">
        <f>SUMIFS(Expenses!$J$5:$J$104,Expenses!$B$5:$B$104,A123,Expenses!$K$5:$K$104,"Cash",Expenses!$M$5:$M$104,"Paid")</f>
        <v>0</v>
      </c>
      <c r="F123" s="8"/>
      <c r="G123" s="9">
        <f t="shared" si="18"/>
        <v>0</v>
      </c>
      <c r="H123" s="9">
        <f t="shared" si="19"/>
        <v>0</v>
      </c>
      <c r="I123" s="9">
        <f t="shared" si="20"/>
        <v>0</v>
      </c>
      <c r="J123" s="8"/>
      <c r="K123" s="9" t="str">
        <f t="shared" si="21"/>
        <v/>
      </c>
      <c r="L123" s="3"/>
    </row>
    <row r="124" spans="1:12">
      <c r="A124" s="17">
        <f t="shared" si="22"/>
        <v>46323</v>
      </c>
      <c r="B124" s="14">
        <f t="shared" si="23"/>
        <v>0</v>
      </c>
      <c r="C124" s="14">
        <f>SUMIFS(Orders!$M$5:$M$154,Orders!$B$5:$B$154,A124,Orders!$P$5:$P$154,"Cash",Orders!$Q$5:$Q$154,"Paid",Orders!$R$5:$R$154,"Completed")</f>
        <v>0</v>
      </c>
      <c r="D124" s="8"/>
      <c r="E124" s="14">
        <f>SUMIFS(Expenses!$J$5:$J$104,Expenses!$B$5:$B$104,A124,Expenses!$K$5:$K$104,"Cash",Expenses!$M$5:$M$104,"Paid")</f>
        <v>0</v>
      </c>
      <c r="F124" s="8"/>
      <c r="G124" s="9">
        <f t="shared" si="18"/>
        <v>0</v>
      </c>
      <c r="H124" s="9">
        <f t="shared" si="19"/>
        <v>0</v>
      </c>
      <c r="I124" s="9">
        <f t="shared" si="20"/>
        <v>0</v>
      </c>
      <c r="J124" s="8"/>
      <c r="K124" s="9" t="str">
        <f t="shared" si="21"/>
        <v/>
      </c>
      <c r="L124" s="3"/>
    </row>
    <row r="125" spans="1:12">
      <c r="A125" s="17">
        <f t="shared" si="22"/>
        <v>46324</v>
      </c>
      <c r="B125" s="14">
        <f t="shared" si="23"/>
        <v>0</v>
      </c>
      <c r="C125" s="14">
        <f>SUMIFS(Orders!$M$5:$M$154,Orders!$B$5:$B$154,A125,Orders!$P$5:$P$154,"Cash",Orders!$Q$5:$Q$154,"Paid",Orders!$R$5:$R$154,"Completed")</f>
        <v>0</v>
      </c>
      <c r="D125" s="8"/>
      <c r="E125" s="14">
        <f>SUMIFS(Expenses!$J$5:$J$104,Expenses!$B$5:$B$104,A125,Expenses!$K$5:$K$104,"Cash",Expenses!$M$5:$M$104,"Paid")</f>
        <v>0</v>
      </c>
      <c r="F125" s="8"/>
      <c r="G125" s="9">
        <f t="shared" si="18"/>
        <v>0</v>
      </c>
      <c r="H125" s="9">
        <f t="shared" si="19"/>
        <v>0</v>
      </c>
      <c r="I125" s="9">
        <f t="shared" si="20"/>
        <v>0</v>
      </c>
      <c r="J125" s="8"/>
      <c r="K125" s="9" t="str">
        <f t="shared" si="21"/>
        <v/>
      </c>
      <c r="L125" s="3"/>
    </row>
    <row r="126" spans="1:12">
      <c r="A126" s="17">
        <f t="shared" si="22"/>
        <v>46325</v>
      </c>
      <c r="B126" s="14">
        <f t="shared" si="23"/>
        <v>0</v>
      </c>
      <c r="C126" s="14">
        <f>SUMIFS(Orders!$M$5:$M$154,Orders!$B$5:$B$154,A126,Orders!$P$5:$P$154,"Cash",Orders!$Q$5:$Q$154,"Paid",Orders!$R$5:$R$154,"Completed")</f>
        <v>0</v>
      </c>
      <c r="D126" s="8"/>
      <c r="E126" s="14">
        <f>SUMIFS(Expenses!$J$5:$J$104,Expenses!$B$5:$B$104,A126,Expenses!$K$5:$K$104,"Cash",Expenses!$M$5:$M$104,"Paid")</f>
        <v>0</v>
      </c>
      <c r="F126" s="8"/>
      <c r="G126" s="9">
        <f t="shared" si="18"/>
        <v>0</v>
      </c>
      <c r="H126" s="9">
        <f t="shared" si="19"/>
        <v>0</v>
      </c>
      <c r="I126" s="9">
        <f t="shared" si="20"/>
        <v>0</v>
      </c>
      <c r="J126" s="8"/>
      <c r="K126" s="9" t="str">
        <f t="shared" si="21"/>
        <v/>
      </c>
      <c r="L126" s="3"/>
    </row>
    <row r="127" spans="1:12">
      <c r="A127" s="17">
        <f t="shared" si="22"/>
        <v>46326</v>
      </c>
      <c r="B127" s="14">
        <f t="shared" si="23"/>
        <v>0</v>
      </c>
      <c r="C127" s="14">
        <f>SUMIFS(Orders!$M$5:$M$154,Orders!$B$5:$B$154,A127,Orders!$P$5:$P$154,"Cash",Orders!$Q$5:$Q$154,"Paid",Orders!$R$5:$R$154,"Completed")</f>
        <v>0</v>
      </c>
      <c r="D127" s="8"/>
      <c r="E127" s="14">
        <f>SUMIFS(Expenses!$J$5:$J$104,Expenses!$B$5:$B$104,A127,Expenses!$K$5:$K$104,"Cash",Expenses!$M$5:$M$104,"Paid")</f>
        <v>0</v>
      </c>
      <c r="F127" s="8"/>
      <c r="G127" s="9">
        <f t="shared" si="18"/>
        <v>0</v>
      </c>
      <c r="H127" s="9">
        <f t="shared" si="19"/>
        <v>0</v>
      </c>
      <c r="I127" s="9">
        <f t="shared" si="20"/>
        <v>0</v>
      </c>
      <c r="J127" s="8"/>
      <c r="K127" s="9" t="str">
        <f t="shared" si="21"/>
        <v/>
      </c>
      <c r="L127" s="3"/>
    </row>
    <row r="128" spans="1:12">
      <c r="A128" s="17">
        <f t="shared" si="22"/>
        <v>46327</v>
      </c>
      <c r="B128" s="14">
        <f t="shared" si="23"/>
        <v>0</v>
      </c>
      <c r="C128" s="14">
        <f>SUMIFS(Orders!$M$5:$M$154,Orders!$B$5:$B$154,A128,Orders!$P$5:$P$154,"Cash",Orders!$Q$5:$Q$154,"Paid",Orders!$R$5:$R$154,"Completed")</f>
        <v>0</v>
      </c>
      <c r="D128" s="8"/>
      <c r="E128" s="14">
        <f>SUMIFS(Expenses!$J$5:$J$104,Expenses!$B$5:$B$104,A128,Expenses!$K$5:$K$104,"Cash",Expenses!$M$5:$M$104,"Paid")</f>
        <v>0</v>
      </c>
      <c r="F128" s="8"/>
      <c r="G128" s="9">
        <f t="shared" si="18"/>
        <v>0</v>
      </c>
      <c r="H128" s="9">
        <f t="shared" si="19"/>
        <v>0</v>
      </c>
      <c r="I128" s="9">
        <f t="shared" si="20"/>
        <v>0</v>
      </c>
      <c r="J128" s="8"/>
      <c r="K128" s="9" t="str">
        <f t="shared" si="21"/>
        <v/>
      </c>
      <c r="L128" s="3"/>
    </row>
    <row r="129" spans="1:12">
      <c r="A129" s="17">
        <f t="shared" si="22"/>
        <v>46328</v>
      </c>
      <c r="B129" s="14">
        <f t="shared" si="23"/>
        <v>0</v>
      </c>
      <c r="C129" s="14">
        <f>SUMIFS(Orders!$M$5:$M$154,Orders!$B$5:$B$154,A129,Orders!$P$5:$P$154,"Cash",Orders!$Q$5:$Q$154,"Paid",Orders!$R$5:$R$154,"Completed")</f>
        <v>0</v>
      </c>
      <c r="D129" s="8"/>
      <c r="E129" s="14">
        <f>SUMIFS(Expenses!$J$5:$J$104,Expenses!$B$5:$B$104,A129,Expenses!$K$5:$K$104,"Cash",Expenses!$M$5:$M$104,"Paid")</f>
        <v>0</v>
      </c>
      <c r="F129" s="8"/>
      <c r="G129" s="9">
        <f t="shared" si="18"/>
        <v>0</v>
      </c>
      <c r="H129" s="9">
        <f t="shared" si="19"/>
        <v>0</v>
      </c>
      <c r="I129" s="9">
        <f t="shared" si="20"/>
        <v>0</v>
      </c>
      <c r="J129" s="8"/>
      <c r="K129" s="9" t="str">
        <f t="shared" si="21"/>
        <v/>
      </c>
      <c r="L129" s="3"/>
    </row>
    <row r="130" spans="1:12">
      <c r="A130" s="17">
        <f t="shared" si="22"/>
        <v>46329</v>
      </c>
      <c r="B130" s="14">
        <f t="shared" si="23"/>
        <v>0</v>
      </c>
      <c r="C130" s="14">
        <f>SUMIFS(Orders!$M$5:$M$154,Orders!$B$5:$B$154,A130,Orders!$P$5:$P$154,"Cash",Orders!$Q$5:$Q$154,"Paid",Orders!$R$5:$R$154,"Completed")</f>
        <v>0</v>
      </c>
      <c r="D130" s="8"/>
      <c r="E130" s="14">
        <f>SUMIFS(Expenses!$J$5:$J$104,Expenses!$B$5:$B$104,A130,Expenses!$K$5:$K$104,"Cash",Expenses!$M$5:$M$104,"Paid")</f>
        <v>0</v>
      </c>
      <c r="F130" s="8"/>
      <c r="G130" s="9">
        <f t="shared" si="18"/>
        <v>0</v>
      </c>
      <c r="H130" s="9">
        <f t="shared" si="19"/>
        <v>0</v>
      </c>
      <c r="I130" s="9">
        <f t="shared" si="20"/>
        <v>0</v>
      </c>
      <c r="J130" s="8"/>
      <c r="K130" s="9" t="str">
        <f t="shared" si="21"/>
        <v/>
      </c>
      <c r="L130" s="3"/>
    </row>
    <row r="131" spans="1:12">
      <c r="A131" s="17">
        <f t="shared" si="22"/>
        <v>46330</v>
      </c>
      <c r="B131" s="14">
        <f t="shared" si="23"/>
        <v>0</v>
      </c>
      <c r="C131" s="14">
        <f>SUMIFS(Orders!$M$5:$M$154,Orders!$B$5:$B$154,A131,Orders!$P$5:$P$154,"Cash",Orders!$Q$5:$Q$154,"Paid",Orders!$R$5:$R$154,"Completed")</f>
        <v>0</v>
      </c>
      <c r="D131" s="8"/>
      <c r="E131" s="14">
        <f>SUMIFS(Expenses!$J$5:$J$104,Expenses!$B$5:$B$104,A131,Expenses!$K$5:$K$104,"Cash",Expenses!$M$5:$M$104,"Paid")</f>
        <v>0</v>
      </c>
      <c r="F131" s="8"/>
      <c r="G131" s="9">
        <f t="shared" si="18"/>
        <v>0</v>
      </c>
      <c r="H131" s="9">
        <f t="shared" si="19"/>
        <v>0</v>
      </c>
      <c r="I131" s="9">
        <f t="shared" si="20"/>
        <v>0</v>
      </c>
      <c r="J131" s="8"/>
      <c r="K131" s="9" t="str">
        <f t="shared" si="21"/>
        <v/>
      </c>
      <c r="L131" s="3"/>
    </row>
    <row r="132" spans="1:12">
      <c r="A132" s="17">
        <f t="shared" si="22"/>
        <v>46331</v>
      </c>
      <c r="B132" s="14">
        <f t="shared" si="23"/>
        <v>0</v>
      </c>
      <c r="C132" s="14">
        <f>SUMIFS(Orders!$M$5:$M$154,Orders!$B$5:$B$154,A132,Orders!$P$5:$P$154,"Cash",Orders!$Q$5:$Q$154,"Paid",Orders!$R$5:$R$154,"Completed")</f>
        <v>0</v>
      </c>
      <c r="D132" s="8"/>
      <c r="E132" s="14">
        <f>SUMIFS(Expenses!$J$5:$J$104,Expenses!$B$5:$B$104,A132,Expenses!$K$5:$K$104,"Cash",Expenses!$M$5:$M$104,"Paid")</f>
        <v>0</v>
      </c>
      <c r="F132" s="8"/>
      <c r="G132" s="9">
        <f t="shared" si="18"/>
        <v>0</v>
      </c>
      <c r="H132" s="9">
        <f t="shared" si="19"/>
        <v>0</v>
      </c>
      <c r="I132" s="9">
        <f t="shared" si="20"/>
        <v>0</v>
      </c>
      <c r="J132" s="8"/>
      <c r="K132" s="9" t="str">
        <f t="shared" si="21"/>
        <v/>
      </c>
      <c r="L132" s="3"/>
    </row>
    <row r="133" spans="1:12">
      <c r="A133" s="17">
        <f t="shared" si="22"/>
        <v>46332</v>
      </c>
      <c r="B133" s="14">
        <f t="shared" si="23"/>
        <v>0</v>
      </c>
      <c r="C133" s="14">
        <f>SUMIFS(Orders!$M$5:$M$154,Orders!$B$5:$B$154,A133,Orders!$P$5:$P$154,"Cash",Orders!$Q$5:$Q$154,"Paid",Orders!$R$5:$R$154,"Completed")</f>
        <v>0</v>
      </c>
      <c r="D133" s="8"/>
      <c r="E133" s="14">
        <f>SUMIFS(Expenses!$J$5:$J$104,Expenses!$B$5:$B$104,A133,Expenses!$K$5:$K$104,"Cash",Expenses!$M$5:$M$104,"Paid")</f>
        <v>0</v>
      </c>
      <c r="F133" s="8"/>
      <c r="G133" s="9">
        <f t="shared" ref="G133:G164" si="24">C133+IF(D133="",0,D133)</f>
        <v>0</v>
      </c>
      <c r="H133" s="9">
        <f t="shared" ref="H133:H164" si="25">E133+IF(F133="",0,F133)</f>
        <v>0</v>
      </c>
      <c r="I133" s="9">
        <f t="shared" ref="I133:I164" si="26">B133+G133-H133</f>
        <v>0</v>
      </c>
      <c r="J133" s="8"/>
      <c r="K133" s="9" t="str">
        <f t="shared" ref="K133:K164" si="27">IF(J133="","",J133-I133)</f>
        <v/>
      </c>
      <c r="L133" s="3"/>
    </row>
    <row r="134" spans="1:12">
      <c r="A134" s="17">
        <f t="shared" ref="A134:A165" si="28">A133+1</f>
        <v>46333</v>
      </c>
      <c r="B134" s="14">
        <f t="shared" ref="B134:B165" si="29">IF(J133&lt;&gt;"",J133,I133)</f>
        <v>0</v>
      </c>
      <c r="C134" s="14">
        <f>SUMIFS(Orders!$M$5:$M$154,Orders!$B$5:$B$154,A134,Orders!$P$5:$P$154,"Cash",Orders!$Q$5:$Q$154,"Paid",Orders!$R$5:$R$154,"Completed")</f>
        <v>0</v>
      </c>
      <c r="D134" s="8"/>
      <c r="E134" s="14">
        <f>SUMIFS(Expenses!$J$5:$J$104,Expenses!$B$5:$B$104,A134,Expenses!$K$5:$K$104,"Cash",Expenses!$M$5:$M$104,"Paid")</f>
        <v>0</v>
      </c>
      <c r="F134" s="8"/>
      <c r="G134" s="9">
        <f t="shared" si="24"/>
        <v>0</v>
      </c>
      <c r="H134" s="9">
        <f t="shared" si="25"/>
        <v>0</v>
      </c>
      <c r="I134" s="9">
        <f t="shared" si="26"/>
        <v>0</v>
      </c>
      <c r="J134" s="8"/>
      <c r="K134" s="9" t="str">
        <f t="shared" si="27"/>
        <v/>
      </c>
      <c r="L134" s="3"/>
    </row>
    <row r="135" spans="1:12">
      <c r="A135" s="17">
        <f t="shared" si="28"/>
        <v>46334</v>
      </c>
      <c r="B135" s="14">
        <f t="shared" si="29"/>
        <v>0</v>
      </c>
      <c r="C135" s="14">
        <f>SUMIFS(Orders!$M$5:$M$154,Orders!$B$5:$B$154,A135,Orders!$P$5:$P$154,"Cash",Orders!$Q$5:$Q$154,"Paid",Orders!$R$5:$R$154,"Completed")</f>
        <v>0</v>
      </c>
      <c r="D135" s="8"/>
      <c r="E135" s="14">
        <f>SUMIFS(Expenses!$J$5:$J$104,Expenses!$B$5:$B$104,A135,Expenses!$K$5:$K$104,"Cash",Expenses!$M$5:$M$104,"Paid")</f>
        <v>0</v>
      </c>
      <c r="F135" s="8"/>
      <c r="G135" s="9">
        <f t="shared" si="24"/>
        <v>0</v>
      </c>
      <c r="H135" s="9">
        <f t="shared" si="25"/>
        <v>0</v>
      </c>
      <c r="I135" s="9">
        <f t="shared" si="26"/>
        <v>0</v>
      </c>
      <c r="J135" s="8"/>
      <c r="K135" s="9" t="str">
        <f t="shared" si="27"/>
        <v/>
      </c>
      <c r="L135" s="3"/>
    </row>
    <row r="136" spans="1:12">
      <c r="A136" s="17">
        <f t="shared" si="28"/>
        <v>46335</v>
      </c>
      <c r="B136" s="14">
        <f t="shared" si="29"/>
        <v>0</v>
      </c>
      <c r="C136" s="14">
        <f>SUMIFS(Orders!$M$5:$M$154,Orders!$B$5:$B$154,A136,Orders!$P$5:$P$154,"Cash",Orders!$Q$5:$Q$154,"Paid",Orders!$R$5:$R$154,"Completed")</f>
        <v>0</v>
      </c>
      <c r="D136" s="8"/>
      <c r="E136" s="14">
        <f>SUMIFS(Expenses!$J$5:$J$104,Expenses!$B$5:$B$104,A136,Expenses!$K$5:$K$104,"Cash",Expenses!$M$5:$M$104,"Paid")</f>
        <v>0</v>
      </c>
      <c r="F136" s="8"/>
      <c r="G136" s="9">
        <f t="shared" si="24"/>
        <v>0</v>
      </c>
      <c r="H136" s="9">
        <f t="shared" si="25"/>
        <v>0</v>
      </c>
      <c r="I136" s="9">
        <f t="shared" si="26"/>
        <v>0</v>
      </c>
      <c r="J136" s="8"/>
      <c r="K136" s="9" t="str">
        <f t="shared" si="27"/>
        <v/>
      </c>
      <c r="L136" s="3"/>
    </row>
    <row r="137" spans="1:12">
      <c r="A137" s="17">
        <f t="shared" si="28"/>
        <v>46336</v>
      </c>
      <c r="B137" s="14">
        <f t="shared" si="29"/>
        <v>0</v>
      </c>
      <c r="C137" s="14">
        <f>SUMIFS(Orders!$M$5:$M$154,Orders!$B$5:$B$154,A137,Orders!$P$5:$P$154,"Cash",Orders!$Q$5:$Q$154,"Paid",Orders!$R$5:$R$154,"Completed")</f>
        <v>0</v>
      </c>
      <c r="D137" s="8"/>
      <c r="E137" s="14">
        <f>SUMIFS(Expenses!$J$5:$J$104,Expenses!$B$5:$B$104,A137,Expenses!$K$5:$K$104,"Cash",Expenses!$M$5:$M$104,"Paid")</f>
        <v>0</v>
      </c>
      <c r="F137" s="8"/>
      <c r="G137" s="9">
        <f t="shared" si="24"/>
        <v>0</v>
      </c>
      <c r="H137" s="9">
        <f t="shared" si="25"/>
        <v>0</v>
      </c>
      <c r="I137" s="9">
        <f t="shared" si="26"/>
        <v>0</v>
      </c>
      <c r="J137" s="8"/>
      <c r="K137" s="9" t="str">
        <f t="shared" si="27"/>
        <v/>
      </c>
      <c r="L137" s="3"/>
    </row>
    <row r="138" spans="1:12">
      <c r="A138" s="17">
        <f t="shared" si="28"/>
        <v>46337</v>
      </c>
      <c r="B138" s="14">
        <f t="shared" si="29"/>
        <v>0</v>
      </c>
      <c r="C138" s="14">
        <f>SUMIFS(Orders!$M$5:$M$154,Orders!$B$5:$B$154,A138,Orders!$P$5:$P$154,"Cash",Orders!$Q$5:$Q$154,"Paid",Orders!$R$5:$R$154,"Completed")</f>
        <v>0</v>
      </c>
      <c r="D138" s="8"/>
      <c r="E138" s="14">
        <f>SUMIFS(Expenses!$J$5:$J$104,Expenses!$B$5:$B$104,A138,Expenses!$K$5:$K$104,"Cash",Expenses!$M$5:$M$104,"Paid")</f>
        <v>0</v>
      </c>
      <c r="F138" s="8"/>
      <c r="G138" s="9">
        <f t="shared" si="24"/>
        <v>0</v>
      </c>
      <c r="H138" s="9">
        <f t="shared" si="25"/>
        <v>0</v>
      </c>
      <c r="I138" s="9">
        <f t="shared" si="26"/>
        <v>0</v>
      </c>
      <c r="J138" s="8"/>
      <c r="K138" s="9" t="str">
        <f t="shared" si="27"/>
        <v/>
      </c>
      <c r="L138" s="3"/>
    </row>
    <row r="139" spans="1:12">
      <c r="A139" s="17">
        <f t="shared" si="28"/>
        <v>46338</v>
      </c>
      <c r="B139" s="14">
        <f t="shared" si="29"/>
        <v>0</v>
      </c>
      <c r="C139" s="14">
        <f>SUMIFS(Orders!$M$5:$M$154,Orders!$B$5:$B$154,A139,Orders!$P$5:$P$154,"Cash",Orders!$Q$5:$Q$154,"Paid",Orders!$R$5:$R$154,"Completed")</f>
        <v>0</v>
      </c>
      <c r="D139" s="8"/>
      <c r="E139" s="14">
        <f>SUMIFS(Expenses!$J$5:$J$104,Expenses!$B$5:$B$104,A139,Expenses!$K$5:$K$104,"Cash",Expenses!$M$5:$M$104,"Paid")</f>
        <v>0</v>
      </c>
      <c r="F139" s="8"/>
      <c r="G139" s="9">
        <f t="shared" si="24"/>
        <v>0</v>
      </c>
      <c r="H139" s="9">
        <f t="shared" si="25"/>
        <v>0</v>
      </c>
      <c r="I139" s="9">
        <f t="shared" si="26"/>
        <v>0</v>
      </c>
      <c r="J139" s="8"/>
      <c r="K139" s="9" t="str">
        <f t="shared" si="27"/>
        <v/>
      </c>
      <c r="L139" s="3"/>
    </row>
    <row r="140" spans="1:12">
      <c r="A140" s="17">
        <f t="shared" si="28"/>
        <v>46339</v>
      </c>
      <c r="B140" s="14">
        <f t="shared" si="29"/>
        <v>0</v>
      </c>
      <c r="C140" s="14">
        <f>SUMIFS(Orders!$M$5:$M$154,Orders!$B$5:$B$154,A140,Orders!$P$5:$P$154,"Cash",Orders!$Q$5:$Q$154,"Paid",Orders!$R$5:$R$154,"Completed")</f>
        <v>0</v>
      </c>
      <c r="D140" s="8"/>
      <c r="E140" s="14">
        <f>SUMIFS(Expenses!$J$5:$J$104,Expenses!$B$5:$B$104,A140,Expenses!$K$5:$K$104,"Cash",Expenses!$M$5:$M$104,"Paid")</f>
        <v>0</v>
      </c>
      <c r="F140" s="8"/>
      <c r="G140" s="9">
        <f t="shared" si="24"/>
        <v>0</v>
      </c>
      <c r="H140" s="9">
        <f t="shared" si="25"/>
        <v>0</v>
      </c>
      <c r="I140" s="9">
        <f t="shared" si="26"/>
        <v>0</v>
      </c>
      <c r="J140" s="8"/>
      <c r="K140" s="9" t="str">
        <f t="shared" si="27"/>
        <v/>
      </c>
      <c r="L140" s="3"/>
    </row>
    <row r="141" spans="1:12">
      <c r="A141" s="17">
        <f t="shared" si="28"/>
        <v>46340</v>
      </c>
      <c r="B141" s="14">
        <f t="shared" si="29"/>
        <v>0</v>
      </c>
      <c r="C141" s="14">
        <f>SUMIFS(Orders!$M$5:$M$154,Orders!$B$5:$B$154,A141,Orders!$P$5:$P$154,"Cash",Orders!$Q$5:$Q$154,"Paid",Orders!$R$5:$R$154,"Completed")</f>
        <v>0</v>
      </c>
      <c r="D141" s="8"/>
      <c r="E141" s="14">
        <f>SUMIFS(Expenses!$J$5:$J$104,Expenses!$B$5:$B$104,A141,Expenses!$K$5:$K$104,"Cash",Expenses!$M$5:$M$104,"Paid")</f>
        <v>0</v>
      </c>
      <c r="F141" s="8"/>
      <c r="G141" s="9">
        <f t="shared" si="24"/>
        <v>0</v>
      </c>
      <c r="H141" s="9">
        <f t="shared" si="25"/>
        <v>0</v>
      </c>
      <c r="I141" s="9">
        <f t="shared" si="26"/>
        <v>0</v>
      </c>
      <c r="J141" s="8"/>
      <c r="K141" s="9" t="str">
        <f t="shared" si="27"/>
        <v/>
      </c>
      <c r="L141" s="3"/>
    </row>
    <row r="142" spans="1:12">
      <c r="A142" s="17">
        <f t="shared" si="28"/>
        <v>46341</v>
      </c>
      <c r="B142" s="14">
        <f t="shared" si="29"/>
        <v>0</v>
      </c>
      <c r="C142" s="14">
        <f>SUMIFS(Orders!$M$5:$M$154,Orders!$B$5:$B$154,A142,Orders!$P$5:$P$154,"Cash",Orders!$Q$5:$Q$154,"Paid",Orders!$R$5:$R$154,"Completed")</f>
        <v>0</v>
      </c>
      <c r="D142" s="8"/>
      <c r="E142" s="14">
        <f>SUMIFS(Expenses!$J$5:$J$104,Expenses!$B$5:$B$104,A142,Expenses!$K$5:$K$104,"Cash",Expenses!$M$5:$M$104,"Paid")</f>
        <v>0</v>
      </c>
      <c r="F142" s="8"/>
      <c r="G142" s="9">
        <f t="shared" si="24"/>
        <v>0</v>
      </c>
      <c r="H142" s="9">
        <f t="shared" si="25"/>
        <v>0</v>
      </c>
      <c r="I142" s="9">
        <f t="shared" si="26"/>
        <v>0</v>
      </c>
      <c r="J142" s="8"/>
      <c r="K142" s="9" t="str">
        <f t="shared" si="27"/>
        <v/>
      </c>
      <c r="L142" s="3"/>
    </row>
    <row r="143" spans="1:12">
      <c r="A143" s="17">
        <f t="shared" si="28"/>
        <v>46342</v>
      </c>
      <c r="B143" s="14">
        <f t="shared" si="29"/>
        <v>0</v>
      </c>
      <c r="C143" s="14">
        <f>SUMIFS(Orders!$M$5:$M$154,Orders!$B$5:$B$154,A143,Orders!$P$5:$P$154,"Cash",Orders!$Q$5:$Q$154,"Paid",Orders!$R$5:$R$154,"Completed")</f>
        <v>0</v>
      </c>
      <c r="D143" s="8"/>
      <c r="E143" s="14">
        <f>SUMIFS(Expenses!$J$5:$J$104,Expenses!$B$5:$B$104,A143,Expenses!$K$5:$K$104,"Cash",Expenses!$M$5:$M$104,"Paid")</f>
        <v>0</v>
      </c>
      <c r="F143" s="8"/>
      <c r="G143" s="9">
        <f t="shared" si="24"/>
        <v>0</v>
      </c>
      <c r="H143" s="9">
        <f t="shared" si="25"/>
        <v>0</v>
      </c>
      <c r="I143" s="9">
        <f t="shared" si="26"/>
        <v>0</v>
      </c>
      <c r="J143" s="8"/>
      <c r="K143" s="9" t="str">
        <f t="shared" si="27"/>
        <v/>
      </c>
      <c r="L143" s="3"/>
    </row>
    <row r="144" spans="1:12">
      <c r="A144" s="17">
        <f t="shared" si="28"/>
        <v>46343</v>
      </c>
      <c r="B144" s="14">
        <f t="shared" si="29"/>
        <v>0</v>
      </c>
      <c r="C144" s="14">
        <f>SUMIFS(Orders!$M$5:$M$154,Orders!$B$5:$B$154,A144,Orders!$P$5:$P$154,"Cash",Orders!$Q$5:$Q$154,"Paid",Orders!$R$5:$R$154,"Completed")</f>
        <v>0</v>
      </c>
      <c r="D144" s="8"/>
      <c r="E144" s="14">
        <f>SUMIFS(Expenses!$J$5:$J$104,Expenses!$B$5:$B$104,A144,Expenses!$K$5:$K$104,"Cash",Expenses!$M$5:$M$104,"Paid")</f>
        <v>0</v>
      </c>
      <c r="F144" s="8"/>
      <c r="G144" s="9">
        <f t="shared" si="24"/>
        <v>0</v>
      </c>
      <c r="H144" s="9">
        <f t="shared" si="25"/>
        <v>0</v>
      </c>
      <c r="I144" s="9">
        <f t="shared" si="26"/>
        <v>0</v>
      </c>
      <c r="J144" s="8"/>
      <c r="K144" s="9" t="str">
        <f t="shared" si="27"/>
        <v/>
      </c>
      <c r="L144" s="3"/>
    </row>
    <row r="145" spans="1:12">
      <c r="A145" s="17">
        <f t="shared" si="28"/>
        <v>46344</v>
      </c>
      <c r="B145" s="14">
        <f t="shared" si="29"/>
        <v>0</v>
      </c>
      <c r="C145" s="14">
        <f>SUMIFS(Orders!$M$5:$M$154,Orders!$B$5:$B$154,A145,Orders!$P$5:$P$154,"Cash",Orders!$Q$5:$Q$154,"Paid",Orders!$R$5:$R$154,"Completed")</f>
        <v>0</v>
      </c>
      <c r="D145" s="8"/>
      <c r="E145" s="14">
        <f>SUMIFS(Expenses!$J$5:$J$104,Expenses!$B$5:$B$104,A145,Expenses!$K$5:$K$104,"Cash",Expenses!$M$5:$M$104,"Paid")</f>
        <v>0</v>
      </c>
      <c r="F145" s="8"/>
      <c r="G145" s="9">
        <f t="shared" si="24"/>
        <v>0</v>
      </c>
      <c r="H145" s="9">
        <f t="shared" si="25"/>
        <v>0</v>
      </c>
      <c r="I145" s="9">
        <f t="shared" si="26"/>
        <v>0</v>
      </c>
      <c r="J145" s="8"/>
      <c r="K145" s="9" t="str">
        <f t="shared" si="27"/>
        <v/>
      </c>
      <c r="L145" s="3"/>
    </row>
    <row r="146" spans="1:12">
      <c r="A146" s="17">
        <f t="shared" si="28"/>
        <v>46345</v>
      </c>
      <c r="B146" s="14">
        <f t="shared" si="29"/>
        <v>0</v>
      </c>
      <c r="C146" s="14">
        <f>SUMIFS(Orders!$M$5:$M$154,Orders!$B$5:$B$154,A146,Orders!$P$5:$P$154,"Cash",Orders!$Q$5:$Q$154,"Paid",Orders!$R$5:$R$154,"Completed")</f>
        <v>0</v>
      </c>
      <c r="D146" s="8"/>
      <c r="E146" s="14">
        <f>SUMIFS(Expenses!$J$5:$J$104,Expenses!$B$5:$B$104,A146,Expenses!$K$5:$K$104,"Cash",Expenses!$M$5:$M$104,"Paid")</f>
        <v>0</v>
      </c>
      <c r="F146" s="8"/>
      <c r="G146" s="9">
        <f t="shared" si="24"/>
        <v>0</v>
      </c>
      <c r="H146" s="9">
        <f t="shared" si="25"/>
        <v>0</v>
      </c>
      <c r="I146" s="9">
        <f t="shared" si="26"/>
        <v>0</v>
      </c>
      <c r="J146" s="8"/>
      <c r="K146" s="9" t="str">
        <f t="shared" si="27"/>
        <v/>
      </c>
      <c r="L146" s="3"/>
    </row>
    <row r="147" spans="1:12">
      <c r="A147" s="17">
        <f t="shared" si="28"/>
        <v>46346</v>
      </c>
      <c r="B147" s="14">
        <f t="shared" si="29"/>
        <v>0</v>
      </c>
      <c r="C147" s="14">
        <f>SUMIFS(Orders!$M$5:$M$154,Orders!$B$5:$B$154,A147,Orders!$P$5:$P$154,"Cash",Orders!$Q$5:$Q$154,"Paid",Orders!$R$5:$R$154,"Completed")</f>
        <v>0</v>
      </c>
      <c r="D147" s="8"/>
      <c r="E147" s="14">
        <f>SUMIFS(Expenses!$J$5:$J$104,Expenses!$B$5:$B$104,A147,Expenses!$K$5:$K$104,"Cash",Expenses!$M$5:$M$104,"Paid")</f>
        <v>0</v>
      </c>
      <c r="F147" s="8"/>
      <c r="G147" s="9">
        <f t="shared" si="24"/>
        <v>0</v>
      </c>
      <c r="H147" s="9">
        <f t="shared" si="25"/>
        <v>0</v>
      </c>
      <c r="I147" s="9">
        <f t="shared" si="26"/>
        <v>0</v>
      </c>
      <c r="J147" s="8"/>
      <c r="K147" s="9" t="str">
        <f t="shared" si="27"/>
        <v/>
      </c>
      <c r="L147" s="3"/>
    </row>
    <row r="148" spans="1:12">
      <c r="A148" s="17">
        <f t="shared" si="28"/>
        <v>46347</v>
      </c>
      <c r="B148" s="14">
        <f t="shared" si="29"/>
        <v>0</v>
      </c>
      <c r="C148" s="14">
        <f>SUMIFS(Orders!$M$5:$M$154,Orders!$B$5:$B$154,A148,Orders!$P$5:$P$154,"Cash",Orders!$Q$5:$Q$154,"Paid",Orders!$R$5:$R$154,"Completed")</f>
        <v>0</v>
      </c>
      <c r="D148" s="8"/>
      <c r="E148" s="14">
        <f>SUMIFS(Expenses!$J$5:$J$104,Expenses!$B$5:$B$104,A148,Expenses!$K$5:$K$104,"Cash",Expenses!$M$5:$M$104,"Paid")</f>
        <v>0</v>
      </c>
      <c r="F148" s="8"/>
      <c r="G148" s="9">
        <f t="shared" si="24"/>
        <v>0</v>
      </c>
      <c r="H148" s="9">
        <f t="shared" si="25"/>
        <v>0</v>
      </c>
      <c r="I148" s="9">
        <f t="shared" si="26"/>
        <v>0</v>
      </c>
      <c r="J148" s="8"/>
      <c r="K148" s="9" t="str">
        <f t="shared" si="27"/>
        <v/>
      </c>
      <c r="L148" s="3"/>
    </row>
    <row r="149" spans="1:12">
      <c r="A149" s="17">
        <f t="shared" si="28"/>
        <v>46348</v>
      </c>
      <c r="B149" s="14">
        <f t="shared" si="29"/>
        <v>0</v>
      </c>
      <c r="C149" s="14">
        <f>SUMIFS(Orders!$M$5:$M$154,Orders!$B$5:$B$154,A149,Orders!$P$5:$P$154,"Cash",Orders!$Q$5:$Q$154,"Paid",Orders!$R$5:$R$154,"Completed")</f>
        <v>0</v>
      </c>
      <c r="D149" s="8"/>
      <c r="E149" s="14">
        <f>SUMIFS(Expenses!$J$5:$J$104,Expenses!$B$5:$B$104,A149,Expenses!$K$5:$K$104,"Cash",Expenses!$M$5:$M$104,"Paid")</f>
        <v>0</v>
      </c>
      <c r="F149" s="8"/>
      <c r="G149" s="9">
        <f t="shared" si="24"/>
        <v>0</v>
      </c>
      <c r="H149" s="9">
        <f t="shared" si="25"/>
        <v>0</v>
      </c>
      <c r="I149" s="9">
        <f t="shared" si="26"/>
        <v>0</v>
      </c>
      <c r="J149" s="8"/>
      <c r="K149" s="9" t="str">
        <f t="shared" si="27"/>
        <v/>
      </c>
      <c r="L149" s="3"/>
    </row>
    <row r="150" spans="1:12">
      <c r="A150" s="17">
        <f t="shared" si="28"/>
        <v>46349</v>
      </c>
      <c r="B150" s="14">
        <f t="shared" si="29"/>
        <v>0</v>
      </c>
      <c r="C150" s="14">
        <f>SUMIFS(Orders!$M$5:$M$154,Orders!$B$5:$B$154,A150,Orders!$P$5:$P$154,"Cash",Orders!$Q$5:$Q$154,"Paid",Orders!$R$5:$R$154,"Completed")</f>
        <v>0</v>
      </c>
      <c r="D150" s="8"/>
      <c r="E150" s="14">
        <f>SUMIFS(Expenses!$J$5:$J$104,Expenses!$B$5:$B$104,A150,Expenses!$K$5:$K$104,"Cash",Expenses!$M$5:$M$104,"Paid")</f>
        <v>0</v>
      </c>
      <c r="F150" s="8"/>
      <c r="G150" s="9">
        <f t="shared" si="24"/>
        <v>0</v>
      </c>
      <c r="H150" s="9">
        <f t="shared" si="25"/>
        <v>0</v>
      </c>
      <c r="I150" s="9">
        <f t="shared" si="26"/>
        <v>0</v>
      </c>
      <c r="J150" s="8"/>
      <c r="K150" s="9" t="str">
        <f t="shared" si="27"/>
        <v/>
      </c>
      <c r="L150" s="3"/>
    </row>
    <row r="151" spans="1:12">
      <c r="A151" s="17">
        <f t="shared" si="28"/>
        <v>46350</v>
      </c>
      <c r="B151" s="14">
        <f t="shared" si="29"/>
        <v>0</v>
      </c>
      <c r="C151" s="14">
        <f>SUMIFS(Orders!$M$5:$M$154,Orders!$B$5:$B$154,A151,Orders!$P$5:$P$154,"Cash",Orders!$Q$5:$Q$154,"Paid",Orders!$R$5:$R$154,"Completed")</f>
        <v>0</v>
      </c>
      <c r="D151" s="8"/>
      <c r="E151" s="14">
        <f>SUMIFS(Expenses!$J$5:$J$104,Expenses!$B$5:$B$104,A151,Expenses!$K$5:$K$104,"Cash",Expenses!$M$5:$M$104,"Paid")</f>
        <v>0</v>
      </c>
      <c r="F151" s="8"/>
      <c r="G151" s="9">
        <f t="shared" si="24"/>
        <v>0</v>
      </c>
      <c r="H151" s="9">
        <f t="shared" si="25"/>
        <v>0</v>
      </c>
      <c r="I151" s="9">
        <f t="shared" si="26"/>
        <v>0</v>
      </c>
      <c r="J151" s="8"/>
      <c r="K151" s="9" t="str">
        <f t="shared" si="27"/>
        <v/>
      </c>
      <c r="L151" s="3"/>
    </row>
    <row r="152" spans="1:12">
      <c r="A152" s="17">
        <f t="shared" si="28"/>
        <v>46351</v>
      </c>
      <c r="B152" s="14">
        <f t="shared" si="29"/>
        <v>0</v>
      </c>
      <c r="C152" s="14">
        <f>SUMIFS(Orders!$M$5:$M$154,Orders!$B$5:$B$154,A152,Orders!$P$5:$P$154,"Cash",Orders!$Q$5:$Q$154,"Paid",Orders!$R$5:$R$154,"Completed")</f>
        <v>0</v>
      </c>
      <c r="D152" s="8"/>
      <c r="E152" s="14">
        <f>SUMIFS(Expenses!$J$5:$J$104,Expenses!$B$5:$B$104,A152,Expenses!$K$5:$K$104,"Cash",Expenses!$M$5:$M$104,"Paid")</f>
        <v>0</v>
      </c>
      <c r="F152" s="8"/>
      <c r="G152" s="9">
        <f t="shared" si="24"/>
        <v>0</v>
      </c>
      <c r="H152" s="9">
        <f t="shared" si="25"/>
        <v>0</v>
      </c>
      <c r="I152" s="9">
        <f t="shared" si="26"/>
        <v>0</v>
      </c>
      <c r="J152" s="8"/>
      <c r="K152" s="9" t="str">
        <f t="shared" si="27"/>
        <v/>
      </c>
      <c r="L152" s="3"/>
    </row>
    <row r="153" spans="1:12">
      <c r="A153" s="17">
        <f t="shared" si="28"/>
        <v>46352</v>
      </c>
      <c r="B153" s="14">
        <f t="shared" si="29"/>
        <v>0</v>
      </c>
      <c r="C153" s="14">
        <f>SUMIFS(Orders!$M$5:$M$154,Orders!$B$5:$B$154,A153,Orders!$P$5:$P$154,"Cash",Orders!$Q$5:$Q$154,"Paid",Orders!$R$5:$R$154,"Completed")</f>
        <v>0</v>
      </c>
      <c r="D153" s="8"/>
      <c r="E153" s="14">
        <f>SUMIFS(Expenses!$J$5:$J$104,Expenses!$B$5:$B$104,A153,Expenses!$K$5:$K$104,"Cash",Expenses!$M$5:$M$104,"Paid")</f>
        <v>0</v>
      </c>
      <c r="F153" s="8"/>
      <c r="G153" s="9">
        <f t="shared" si="24"/>
        <v>0</v>
      </c>
      <c r="H153" s="9">
        <f t="shared" si="25"/>
        <v>0</v>
      </c>
      <c r="I153" s="9">
        <f t="shared" si="26"/>
        <v>0</v>
      </c>
      <c r="J153" s="8"/>
      <c r="K153" s="9" t="str">
        <f t="shared" si="27"/>
        <v/>
      </c>
      <c r="L153" s="3"/>
    </row>
    <row r="154" spans="1:12">
      <c r="A154" s="17">
        <f t="shared" si="28"/>
        <v>46353</v>
      </c>
      <c r="B154" s="14">
        <f t="shared" si="29"/>
        <v>0</v>
      </c>
      <c r="C154" s="14">
        <f>SUMIFS(Orders!$M$5:$M$154,Orders!$B$5:$B$154,A154,Orders!$P$5:$P$154,"Cash",Orders!$Q$5:$Q$154,"Paid",Orders!$R$5:$R$154,"Completed")</f>
        <v>0</v>
      </c>
      <c r="D154" s="8"/>
      <c r="E154" s="14">
        <f>SUMIFS(Expenses!$J$5:$J$104,Expenses!$B$5:$B$104,A154,Expenses!$K$5:$K$104,"Cash",Expenses!$M$5:$M$104,"Paid")</f>
        <v>0</v>
      </c>
      <c r="F154" s="8"/>
      <c r="G154" s="9">
        <f t="shared" si="24"/>
        <v>0</v>
      </c>
      <c r="H154" s="9">
        <f t="shared" si="25"/>
        <v>0</v>
      </c>
      <c r="I154" s="9">
        <f t="shared" si="26"/>
        <v>0</v>
      </c>
      <c r="J154" s="8"/>
      <c r="K154" s="9" t="str">
        <f t="shared" si="27"/>
        <v/>
      </c>
      <c r="L154" s="3"/>
    </row>
    <row r="155" spans="1:12">
      <c r="A155" s="17">
        <f t="shared" si="28"/>
        <v>46354</v>
      </c>
      <c r="B155" s="14">
        <f t="shared" si="29"/>
        <v>0</v>
      </c>
      <c r="C155" s="14">
        <f>SUMIFS(Orders!$M$5:$M$154,Orders!$B$5:$B$154,A155,Orders!$P$5:$P$154,"Cash",Orders!$Q$5:$Q$154,"Paid",Orders!$R$5:$R$154,"Completed")</f>
        <v>0</v>
      </c>
      <c r="D155" s="8"/>
      <c r="E155" s="14">
        <f>SUMIFS(Expenses!$J$5:$J$104,Expenses!$B$5:$B$104,A155,Expenses!$K$5:$K$104,"Cash",Expenses!$M$5:$M$104,"Paid")</f>
        <v>0</v>
      </c>
      <c r="F155" s="8"/>
      <c r="G155" s="9">
        <f t="shared" si="24"/>
        <v>0</v>
      </c>
      <c r="H155" s="9">
        <f t="shared" si="25"/>
        <v>0</v>
      </c>
      <c r="I155" s="9">
        <f t="shared" si="26"/>
        <v>0</v>
      </c>
      <c r="J155" s="8"/>
      <c r="K155" s="9" t="str">
        <f t="shared" si="27"/>
        <v/>
      </c>
      <c r="L155" s="3"/>
    </row>
    <row r="156" spans="1:12">
      <c r="A156" s="17">
        <f t="shared" si="28"/>
        <v>46355</v>
      </c>
      <c r="B156" s="14">
        <f t="shared" si="29"/>
        <v>0</v>
      </c>
      <c r="C156" s="14">
        <f>SUMIFS(Orders!$M$5:$M$154,Orders!$B$5:$B$154,A156,Orders!$P$5:$P$154,"Cash",Orders!$Q$5:$Q$154,"Paid",Orders!$R$5:$R$154,"Completed")</f>
        <v>0</v>
      </c>
      <c r="D156" s="8"/>
      <c r="E156" s="14">
        <f>SUMIFS(Expenses!$J$5:$J$104,Expenses!$B$5:$B$104,A156,Expenses!$K$5:$K$104,"Cash",Expenses!$M$5:$M$104,"Paid")</f>
        <v>0</v>
      </c>
      <c r="F156" s="8"/>
      <c r="G156" s="9">
        <f t="shared" si="24"/>
        <v>0</v>
      </c>
      <c r="H156" s="9">
        <f t="shared" si="25"/>
        <v>0</v>
      </c>
      <c r="I156" s="9">
        <f t="shared" si="26"/>
        <v>0</v>
      </c>
      <c r="J156" s="8"/>
      <c r="K156" s="9" t="str">
        <f t="shared" si="27"/>
        <v/>
      </c>
      <c r="L156" s="3"/>
    </row>
    <row r="157" spans="1:12">
      <c r="A157" s="17">
        <f t="shared" si="28"/>
        <v>46356</v>
      </c>
      <c r="B157" s="14">
        <f t="shared" si="29"/>
        <v>0</v>
      </c>
      <c r="C157" s="14">
        <f>SUMIFS(Orders!$M$5:$M$154,Orders!$B$5:$B$154,A157,Orders!$P$5:$P$154,"Cash",Orders!$Q$5:$Q$154,"Paid",Orders!$R$5:$R$154,"Completed")</f>
        <v>0</v>
      </c>
      <c r="D157" s="8"/>
      <c r="E157" s="14">
        <f>SUMIFS(Expenses!$J$5:$J$104,Expenses!$B$5:$B$104,A157,Expenses!$K$5:$K$104,"Cash",Expenses!$M$5:$M$104,"Paid")</f>
        <v>0</v>
      </c>
      <c r="F157" s="8"/>
      <c r="G157" s="9">
        <f t="shared" si="24"/>
        <v>0</v>
      </c>
      <c r="H157" s="9">
        <f t="shared" si="25"/>
        <v>0</v>
      </c>
      <c r="I157" s="9">
        <f t="shared" si="26"/>
        <v>0</v>
      </c>
      <c r="J157" s="8"/>
      <c r="K157" s="9" t="str">
        <f t="shared" si="27"/>
        <v/>
      </c>
      <c r="L157" s="3"/>
    </row>
    <row r="158" spans="1:12">
      <c r="A158" s="17">
        <f t="shared" si="28"/>
        <v>46357</v>
      </c>
      <c r="B158" s="14">
        <f t="shared" si="29"/>
        <v>0</v>
      </c>
      <c r="C158" s="14">
        <f>SUMIFS(Orders!$M$5:$M$154,Orders!$B$5:$B$154,A158,Orders!$P$5:$P$154,"Cash",Orders!$Q$5:$Q$154,"Paid",Orders!$R$5:$R$154,"Completed")</f>
        <v>0</v>
      </c>
      <c r="D158" s="8"/>
      <c r="E158" s="14">
        <f>SUMIFS(Expenses!$J$5:$J$104,Expenses!$B$5:$B$104,A158,Expenses!$K$5:$K$104,"Cash",Expenses!$M$5:$M$104,"Paid")</f>
        <v>0</v>
      </c>
      <c r="F158" s="8"/>
      <c r="G158" s="9">
        <f t="shared" si="24"/>
        <v>0</v>
      </c>
      <c r="H158" s="9">
        <f t="shared" si="25"/>
        <v>0</v>
      </c>
      <c r="I158" s="9">
        <f t="shared" si="26"/>
        <v>0</v>
      </c>
      <c r="J158" s="8"/>
      <c r="K158" s="9" t="str">
        <f t="shared" si="27"/>
        <v/>
      </c>
      <c r="L158" s="3"/>
    </row>
    <row r="159" spans="1:12">
      <c r="A159" s="17">
        <f t="shared" si="28"/>
        <v>46358</v>
      </c>
      <c r="B159" s="14">
        <f t="shared" si="29"/>
        <v>0</v>
      </c>
      <c r="C159" s="14">
        <f>SUMIFS(Orders!$M$5:$M$154,Orders!$B$5:$B$154,A159,Orders!$P$5:$P$154,"Cash",Orders!$Q$5:$Q$154,"Paid",Orders!$R$5:$R$154,"Completed")</f>
        <v>0</v>
      </c>
      <c r="D159" s="8"/>
      <c r="E159" s="14">
        <f>SUMIFS(Expenses!$J$5:$J$104,Expenses!$B$5:$B$104,A159,Expenses!$K$5:$K$104,"Cash",Expenses!$M$5:$M$104,"Paid")</f>
        <v>0</v>
      </c>
      <c r="F159" s="8"/>
      <c r="G159" s="9">
        <f t="shared" si="24"/>
        <v>0</v>
      </c>
      <c r="H159" s="9">
        <f t="shared" si="25"/>
        <v>0</v>
      </c>
      <c r="I159" s="9">
        <f t="shared" si="26"/>
        <v>0</v>
      </c>
      <c r="J159" s="8"/>
      <c r="K159" s="9" t="str">
        <f t="shared" si="27"/>
        <v/>
      </c>
      <c r="L159" s="3"/>
    </row>
    <row r="160" spans="1:12">
      <c r="A160" s="17">
        <f t="shared" si="28"/>
        <v>46359</v>
      </c>
      <c r="B160" s="14">
        <f t="shared" si="29"/>
        <v>0</v>
      </c>
      <c r="C160" s="14">
        <f>SUMIFS(Orders!$M$5:$M$154,Orders!$B$5:$B$154,A160,Orders!$P$5:$P$154,"Cash",Orders!$Q$5:$Q$154,"Paid",Orders!$R$5:$R$154,"Completed")</f>
        <v>0</v>
      </c>
      <c r="D160" s="8"/>
      <c r="E160" s="14">
        <f>SUMIFS(Expenses!$J$5:$J$104,Expenses!$B$5:$B$104,A160,Expenses!$K$5:$K$104,"Cash",Expenses!$M$5:$M$104,"Paid")</f>
        <v>0</v>
      </c>
      <c r="F160" s="8"/>
      <c r="G160" s="9">
        <f t="shared" si="24"/>
        <v>0</v>
      </c>
      <c r="H160" s="9">
        <f t="shared" si="25"/>
        <v>0</v>
      </c>
      <c r="I160" s="9">
        <f t="shared" si="26"/>
        <v>0</v>
      </c>
      <c r="J160" s="8"/>
      <c r="K160" s="9" t="str">
        <f t="shared" si="27"/>
        <v/>
      </c>
      <c r="L160" s="3"/>
    </row>
    <row r="161" spans="1:12">
      <c r="A161" s="17">
        <f t="shared" si="28"/>
        <v>46360</v>
      </c>
      <c r="B161" s="14">
        <f t="shared" si="29"/>
        <v>0</v>
      </c>
      <c r="C161" s="14">
        <f>SUMIFS(Orders!$M$5:$M$154,Orders!$B$5:$B$154,A161,Orders!$P$5:$P$154,"Cash",Orders!$Q$5:$Q$154,"Paid",Orders!$R$5:$R$154,"Completed")</f>
        <v>0</v>
      </c>
      <c r="D161" s="8"/>
      <c r="E161" s="14">
        <f>SUMIFS(Expenses!$J$5:$J$104,Expenses!$B$5:$B$104,A161,Expenses!$K$5:$K$104,"Cash",Expenses!$M$5:$M$104,"Paid")</f>
        <v>0</v>
      </c>
      <c r="F161" s="8"/>
      <c r="G161" s="9">
        <f t="shared" si="24"/>
        <v>0</v>
      </c>
      <c r="H161" s="9">
        <f t="shared" si="25"/>
        <v>0</v>
      </c>
      <c r="I161" s="9">
        <f t="shared" si="26"/>
        <v>0</v>
      </c>
      <c r="J161" s="8"/>
      <c r="K161" s="9" t="str">
        <f t="shared" si="27"/>
        <v/>
      </c>
      <c r="L161" s="3"/>
    </row>
    <row r="162" spans="1:12">
      <c r="A162" s="17">
        <f t="shared" si="28"/>
        <v>46361</v>
      </c>
      <c r="B162" s="14">
        <f t="shared" si="29"/>
        <v>0</v>
      </c>
      <c r="C162" s="14">
        <f>SUMIFS(Orders!$M$5:$M$154,Orders!$B$5:$B$154,A162,Orders!$P$5:$P$154,"Cash",Orders!$Q$5:$Q$154,"Paid",Orders!$R$5:$R$154,"Completed")</f>
        <v>0</v>
      </c>
      <c r="D162" s="8"/>
      <c r="E162" s="14">
        <f>SUMIFS(Expenses!$J$5:$J$104,Expenses!$B$5:$B$104,A162,Expenses!$K$5:$K$104,"Cash",Expenses!$M$5:$M$104,"Paid")</f>
        <v>0</v>
      </c>
      <c r="F162" s="8"/>
      <c r="G162" s="9">
        <f t="shared" si="24"/>
        <v>0</v>
      </c>
      <c r="H162" s="9">
        <f t="shared" si="25"/>
        <v>0</v>
      </c>
      <c r="I162" s="9">
        <f t="shared" si="26"/>
        <v>0</v>
      </c>
      <c r="J162" s="8"/>
      <c r="K162" s="9" t="str">
        <f t="shared" si="27"/>
        <v/>
      </c>
      <c r="L162" s="3"/>
    </row>
    <row r="163" spans="1:12">
      <c r="A163" s="17">
        <f t="shared" si="28"/>
        <v>46362</v>
      </c>
      <c r="B163" s="14">
        <f t="shared" si="29"/>
        <v>0</v>
      </c>
      <c r="C163" s="14">
        <f>SUMIFS(Orders!$M$5:$M$154,Orders!$B$5:$B$154,A163,Orders!$P$5:$P$154,"Cash",Orders!$Q$5:$Q$154,"Paid",Orders!$R$5:$R$154,"Completed")</f>
        <v>0</v>
      </c>
      <c r="D163" s="8"/>
      <c r="E163" s="14">
        <f>SUMIFS(Expenses!$J$5:$J$104,Expenses!$B$5:$B$104,A163,Expenses!$K$5:$K$104,"Cash",Expenses!$M$5:$M$104,"Paid")</f>
        <v>0</v>
      </c>
      <c r="F163" s="8"/>
      <c r="G163" s="9">
        <f t="shared" si="24"/>
        <v>0</v>
      </c>
      <c r="H163" s="9">
        <f t="shared" si="25"/>
        <v>0</v>
      </c>
      <c r="I163" s="9">
        <f t="shared" si="26"/>
        <v>0</v>
      </c>
      <c r="J163" s="8"/>
      <c r="K163" s="9" t="str">
        <f t="shared" si="27"/>
        <v/>
      </c>
      <c r="L163" s="3"/>
    </row>
    <row r="164" spans="1:12">
      <c r="A164" s="17">
        <f t="shared" si="28"/>
        <v>46363</v>
      </c>
      <c r="B164" s="14">
        <f t="shared" si="29"/>
        <v>0</v>
      </c>
      <c r="C164" s="14">
        <f>SUMIFS(Orders!$M$5:$M$154,Orders!$B$5:$B$154,A164,Orders!$P$5:$P$154,"Cash",Orders!$Q$5:$Q$154,"Paid",Orders!$R$5:$R$154,"Completed")</f>
        <v>0</v>
      </c>
      <c r="D164" s="8"/>
      <c r="E164" s="14">
        <f>SUMIFS(Expenses!$J$5:$J$104,Expenses!$B$5:$B$104,A164,Expenses!$K$5:$K$104,"Cash",Expenses!$M$5:$M$104,"Paid")</f>
        <v>0</v>
      </c>
      <c r="F164" s="8"/>
      <c r="G164" s="9">
        <f t="shared" si="24"/>
        <v>0</v>
      </c>
      <c r="H164" s="9">
        <f t="shared" si="25"/>
        <v>0</v>
      </c>
      <c r="I164" s="9">
        <f t="shared" si="26"/>
        <v>0</v>
      </c>
      <c r="J164" s="8"/>
      <c r="K164" s="9" t="str">
        <f t="shared" si="27"/>
        <v/>
      </c>
      <c r="L164" s="3"/>
    </row>
    <row r="165" spans="1:12">
      <c r="A165" s="17">
        <f t="shared" si="28"/>
        <v>46364</v>
      </c>
      <c r="B165" s="14">
        <f t="shared" si="29"/>
        <v>0</v>
      </c>
      <c r="C165" s="14">
        <f>SUMIFS(Orders!$M$5:$M$154,Orders!$B$5:$B$154,A165,Orders!$P$5:$P$154,"Cash",Orders!$Q$5:$Q$154,"Paid",Orders!$R$5:$R$154,"Completed")</f>
        <v>0</v>
      </c>
      <c r="D165" s="8"/>
      <c r="E165" s="14">
        <f>SUMIFS(Expenses!$J$5:$J$104,Expenses!$B$5:$B$104,A165,Expenses!$K$5:$K$104,"Cash",Expenses!$M$5:$M$104,"Paid")</f>
        <v>0</v>
      </c>
      <c r="F165" s="8"/>
      <c r="G165" s="9">
        <f t="shared" ref="G165:G196" si="30">C165+IF(D165="",0,D165)</f>
        <v>0</v>
      </c>
      <c r="H165" s="9">
        <f t="shared" ref="H165:H196" si="31">E165+IF(F165="",0,F165)</f>
        <v>0</v>
      </c>
      <c r="I165" s="9">
        <f t="shared" ref="I165:I196" si="32">B165+G165-H165</f>
        <v>0</v>
      </c>
      <c r="J165" s="8"/>
      <c r="K165" s="9" t="str">
        <f t="shared" ref="K165:K196" si="33">IF(J165="","",J165-I165)</f>
        <v/>
      </c>
      <c r="L165" s="3"/>
    </row>
    <row r="166" spans="1:12">
      <c r="A166" s="17">
        <f t="shared" ref="A166:A197" si="34">A165+1</f>
        <v>46365</v>
      </c>
      <c r="B166" s="14">
        <f t="shared" ref="B166:B197" si="35">IF(J165&lt;&gt;"",J165,I165)</f>
        <v>0</v>
      </c>
      <c r="C166" s="14">
        <f>SUMIFS(Orders!$M$5:$M$154,Orders!$B$5:$B$154,A166,Orders!$P$5:$P$154,"Cash",Orders!$Q$5:$Q$154,"Paid",Orders!$R$5:$R$154,"Completed")</f>
        <v>0</v>
      </c>
      <c r="D166" s="8"/>
      <c r="E166" s="14">
        <f>SUMIFS(Expenses!$J$5:$J$104,Expenses!$B$5:$B$104,A166,Expenses!$K$5:$K$104,"Cash",Expenses!$M$5:$M$104,"Paid")</f>
        <v>0</v>
      </c>
      <c r="F166" s="8"/>
      <c r="G166" s="9">
        <f t="shared" si="30"/>
        <v>0</v>
      </c>
      <c r="H166" s="9">
        <f t="shared" si="31"/>
        <v>0</v>
      </c>
      <c r="I166" s="9">
        <f t="shared" si="32"/>
        <v>0</v>
      </c>
      <c r="J166" s="8"/>
      <c r="K166" s="9" t="str">
        <f t="shared" si="33"/>
        <v/>
      </c>
      <c r="L166" s="3"/>
    </row>
    <row r="167" spans="1:12">
      <c r="A167" s="17">
        <f t="shared" si="34"/>
        <v>46366</v>
      </c>
      <c r="B167" s="14">
        <f t="shared" si="35"/>
        <v>0</v>
      </c>
      <c r="C167" s="14">
        <f>SUMIFS(Orders!$M$5:$M$154,Orders!$B$5:$B$154,A167,Orders!$P$5:$P$154,"Cash",Orders!$Q$5:$Q$154,"Paid",Orders!$R$5:$R$154,"Completed")</f>
        <v>0</v>
      </c>
      <c r="D167" s="8"/>
      <c r="E167" s="14">
        <f>SUMIFS(Expenses!$J$5:$J$104,Expenses!$B$5:$B$104,A167,Expenses!$K$5:$K$104,"Cash",Expenses!$M$5:$M$104,"Paid")</f>
        <v>0</v>
      </c>
      <c r="F167" s="8"/>
      <c r="G167" s="9">
        <f t="shared" si="30"/>
        <v>0</v>
      </c>
      <c r="H167" s="9">
        <f t="shared" si="31"/>
        <v>0</v>
      </c>
      <c r="I167" s="9">
        <f t="shared" si="32"/>
        <v>0</v>
      </c>
      <c r="J167" s="8"/>
      <c r="K167" s="9" t="str">
        <f t="shared" si="33"/>
        <v/>
      </c>
      <c r="L167" s="3"/>
    </row>
    <row r="168" spans="1:12">
      <c r="A168" s="17">
        <f t="shared" si="34"/>
        <v>46367</v>
      </c>
      <c r="B168" s="14">
        <f t="shared" si="35"/>
        <v>0</v>
      </c>
      <c r="C168" s="14">
        <f>SUMIFS(Orders!$M$5:$M$154,Orders!$B$5:$B$154,A168,Orders!$P$5:$P$154,"Cash",Orders!$Q$5:$Q$154,"Paid",Orders!$R$5:$R$154,"Completed")</f>
        <v>0</v>
      </c>
      <c r="D168" s="8"/>
      <c r="E168" s="14">
        <f>SUMIFS(Expenses!$J$5:$J$104,Expenses!$B$5:$B$104,A168,Expenses!$K$5:$K$104,"Cash",Expenses!$M$5:$M$104,"Paid")</f>
        <v>0</v>
      </c>
      <c r="F168" s="8"/>
      <c r="G168" s="9">
        <f t="shared" si="30"/>
        <v>0</v>
      </c>
      <c r="H168" s="9">
        <f t="shared" si="31"/>
        <v>0</v>
      </c>
      <c r="I168" s="9">
        <f t="shared" si="32"/>
        <v>0</v>
      </c>
      <c r="J168" s="8"/>
      <c r="K168" s="9" t="str">
        <f t="shared" si="33"/>
        <v/>
      </c>
      <c r="L168" s="3"/>
    </row>
    <row r="169" spans="1:12">
      <c r="A169" s="17">
        <f t="shared" si="34"/>
        <v>46368</v>
      </c>
      <c r="B169" s="14">
        <f t="shared" si="35"/>
        <v>0</v>
      </c>
      <c r="C169" s="14">
        <f>SUMIFS(Orders!$M$5:$M$154,Orders!$B$5:$B$154,A169,Orders!$P$5:$P$154,"Cash",Orders!$Q$5:$Q$154,"Paid",Orders!$R$5:$R$154,"Completed")</f>
        <v>0</v>
      </c>
      <c r="D169" s="8"/>
      <c r="E169" s="14">
        <f>SUMIFS(Expenses!$J$5:$J$104,Expenses!$B$5:$B$104,A169,Expenses!$K$5:$K$104,"Cash",Expenses!$M$5:$M$104,"Paid")</f>
        <v>0</v>
      </c>
      <c r="F169" s="8"/>
      <c r="G169" s="9">
        <f t="shared" si="30"/>
        <v>0</v>
      </c>
      <c r="H169" s="9">
        <f t="shared" si="31"/>
        <v>0</v>
      </c>
      <c r="I169" s="9">
        <f t="shared" si="32"/>
        <v>0</v>
      </c>
      <c r="J169" s="8"/>
      <c r="K169" s="9" t="str">
        <f t="shared" si="33"/>
        <v/>
      </c>
      <c r="L169" s="3"/>
    </row>
    <row r="170" spans="1:12">
      <c r="A170" s="17">
        <f t="shared" si="34"/>
        <v>46369</v>
      </c>
      <c r="B170" s="14">
        <f t="shared" si="35"/>
        <v>0</v>
      </c>
      <c r="C170" s="14">
        <f>SUMIFS(Orders!$M$5:$M$154,Orders!$B$5:$B$154,A170,Orders!$P$5:$P$154,"Cash",Orders!$Q$5:$Q$154,"Paid",Orders!$R$5:$R$154,"Completed")</f>
        <v>0</v>
      </c>
      <c r="D170" s="8"/>
      <c r="E170" s="14">
        <f>SUMIFS(Expenses!$J$5:$J$104,Expenses!$B$5:$B$104,A170,Expenses!$K$5:$K$104,"Cash",Expenses!$M$5:$M$104,"Paid")</f>
        <v>0</v>
      </c>
      <c r="F170" s="8"/>
      <c r="G170" s="9">
        <f t="shared" si="30"/>
        <v>0</v>
      </c>
      <c r="H170" s="9">
        <f t="shared" si="31"/>
        <v>0</v>
      </c>
      <c r="I170" s="9">
        <f t="shared" si="32"/>
        <v>0</v>
      </c>
      <c r="J170" s="8"/>
      <c r="K170" s="9" t="str">
        <f t="shared" si="33"/>
        <v/>
      </c>
      <c r="L170" s="3"/>
    </row>
    <row r="171" spans="1:12">
      <c r="A171" s="17">
        <f t="shared" si="34"/>
        <v>46370</v>
      </c>
      <c r="B171" s="14">
        <f t="shared" si="35"/>
        <v>0</v>
      </c>
      <c r="C171" s="14">
        <f>SUMIFS(Orders!$M$5:$M$154,Orders!$B$5:$B$154,A171,Orders!$P$5:$P$154,"Cash",Orders!$Q$5:$Q$154,"Paid",Orders!$R$5:$R$154,"Completed")</f>
        <v>0</v>
      </c>
      <c r="D171" s="8"/>
      <c r="E171" s="14">
        <f>SUMIFS(Expenses!$J$5:$J$104,Expenses!$B$5:$B$104,A171,Expenses!$K$5:$K$104,"Cash",Expenses!$M$5:$M$104,"Paid")</f>
        <v>0</v>
      </c>
      <c r="F171" s="8"/>
      <c r="G171" s="9">
        <f t="shared" si="30"/>
        <v>0</v>
      </c>
      <c r="H171" s="9">
        <f t="shared" si="31"/>
        <v>0</v>
      </c>
      <c r="I171" s="9">
        <f t="shared" si="32"/>
        <v>0</v>
      </c>
      <c r="J171" s="8"/>
      <c r="K171" s="9" t="str">
        <f t="shared" si="33"/>
        <v/>
      </c>
      <c r="L171" s="3"/>
    </row>
    <row r="172" spans="1:12">
      <c r="A172" s="17">
        <f t="shared" si="34"/>
        <v>46371</v>
      </c>
      <c r="B172" s="14">
        <f t="shared" si="35"/>
        <v>0</v>
      </c>
      <c r="C172" s="14">
        <f>SUMIFS(Orders!$M$5:$M$154,Orders!$B$5:$B$154,A172,Orders!$P$5:$P$154,"Cash",Orders!$Q$5:$Q$154,"Paid",Orders!$R$5:$R$154,"Completed")</f>
        <v>0</v>
      </c>
      <c r="D172" s="8"/>
      <c r="E172" s="14">
        <f>SUMIFS(Expenses!$J$5:$J$104,Expenses!$B$5:$B$104,A172,Expenses!$K$5:$K$104,"Cash",Expenses!$M$5:$M$104,"Paid")</f>
        <v>0</v>
      </c>
      <c r="F172" s="8"/>
      <c r="G172" s="9">
        <f t="shared" si="30"/>
        <v>0</v>
      </c>
      <c r="H172" s="9">
        <f t="shared" si="31"/>
        <v>0</v>
      </c>
      <c r="I172" s="9">
        <f t="shared" si="32"/>
        <v>0</v>
      </c>
      <c r="J172" s="8"/>
      <c r="K172" s="9" t="str">
        <f t="shared" si="33"/>
        <v/>
      </c>
      <c r="L172" s="3"/>
    </row>
    <row r="173" spans="1:12">
      <c r="A173" s="17">
        <f t="shared" si="34"/>
        <v>46372</v>
      </c>
      <c r="B173" s="14">
        <f t="shared" si="35"/>
        <v>0</v>
      </c>
      <c r="C173" s="14">
        <f>SUMIFS(Orders!$M$5:$M$154,Orders!$B$5:$B$154,A173,Orders!$P$5:$P$154,"Cash",Orders!$Q$5:$Q$154,"Paid",Orders!$R$5:$R$154,"Completed")</f>
        <v>0</v>
      </c>
      <c r="D173" s="8"/>
      <c r="E173" s="14">
        <f>SUMIFS(Expenses!$J$5:$J$104,Expenses!$B$5:$B$104,A173,Expenses!$K$5:$K$104,"Cash",Expenses!$M$5:$M$104,"Paid")</f>
        <v>0</v>
      </c>
      <c r="F173" s="8"/>
      <c r="G173" s="9">
        <f t="shared" si="30"/>
        <v>0</v>
      </c>
      <c r="H173" s="9">
        <f t="shared" si="31"/>
        <v>0</v>
      </c>
      <c r="I173" s="9">
        <f t="shared" si="32"/>
        <v>0</v>
      </c>
      <c r="J173" s="8"/>
      <c r="K173" s="9" t="str">
        <f t="shared" si="33"/>
        <v/>
      </c>
      <c r="L173" s="3"/>
    </row>
    <row r="174" spans="1:12">
      <c r="A174" s="17">
        <f t="shared" si="34"/>
        <v>46373</v>
      </c>
      <c r="B174" s="14">
        <f t="shared" si="35"/>
        <v>0</v>
      </c>
      <c r="C174" s="14">
        <f>SUMIFS(Orders!$M$5:$M$154,Orders!$B$5:$B$154,A174,Orders!$P$5:$P$154,"Cash",Orders!$Q$5:$Q$154,"Paid",Orders!$R$5:$R$154,"Completed")</f>
        <v>0</v>
      </c>
      <c r="D174" s="8"/>
      <c r="E174" s="14">
        <f>SUMIFS(Expenses!$J$5:$J$104,Expenses!$B$5:$B$104,A174,Expenses!$K$5:$K$104,"Cash",Expenses!$M$5:$M$104,"Paid")</f>
        <v>0</v>
      </c>
      <c r="F174" s="8"/>
      <c r="G174" s="9">
        <f t="shared" si="30"/>
        <v>0</v>
      </c>
      <c r="H174" s="9">
        <f t="shared" si="31"/>
        <v>0</v>
      </c>
      <c r="I174" s="9">
        <f t="shared" si="32"/>
        <v>0</v>
      </c>
      <c r="J174" s="8"/>
      <c r="K174" s="9" t="str">
        <f t="shared" si="33"/>
        <v/>
      </c>
      <c r="L174" s="3"/>
    </row>
    <row r="175" spans="1:12">
      <c r="A175" s="17">
        <f t="shared" si="34"/>
        <v>46374</v>
      </c>
      <c r="B175" s="14">
        <f t="shared" si="35"/>
        <v>0</v>
      </c>
      <c r="C175" s="14">
        <f>SUMIFS(Orders!$M$5:$M$154,Orders!$B$5:$B$154,A175,Orders!$P$5:$P$154,"Cash",Orders!$Q$5:$Q$154,"Paid",Orders!$R$5:$R$154,"Completed")</f>
        <v>0</v>
      </c>
      <c r="D175" s="8"/>
      <c r="E175" s="14">
        <f>SUMIFS(Expenses!$J$5:$J$104,Expenses!$B$5:$B$104,A175,Expenses!$K$5:$K$104,"Cash",Expenses!$M$5:$M$104,"Paid")</f>
        <v>0</v>
      </c>
      <c r="F175" s="8"/>
      <c r="G175" s="9">
        <f t="shared" si="30"/>
        <v>0</v>
      </c>
      <c r="H175" s="9">
        <f t="shared" si="31"/>
        <v>0</v>
      </c>
      <c r="I175" s="9">
        <f t="shared" si="32"/>
        <v>0</v>
      </c>
      <c r="J175" s="8"/>
      <c r="K175" s="9" t="str">
        <f t="shared" si="33"/>
        <v/>
      </c>
      <c r="L175" s="3"/>
    </row>
    <row r="176" spans="1:12">
      <c r="A176" s="17">
        <f t="shared" si="34"/>
        <v>46375</v>
      </c>
      <c r="B176" s="14">
        <f t="shared" si="35"/>
        <v>0</v>
      </c>
      <c r="C176" s="14">
        <f>SUMIFS(Orders!$M$5:$M$154,Orders!$B$5:$B$154,A176,Orders!$P$5:$P$154,"Cash",Orders!$Q$5:$Q$154,"Paid",Orders!$R$5:$R$154,"Completed")</f>
        <v>0</v>
      </c>
      <c r="D176" s="8"/>
      <c r="E176" s="14">
        <f>SUMIFS(Expenses!$J$5:$J$104,Expenses!$B$5:$B$104,A176,Expenses!$K$5:$K$104,"Cash",Expenses!$M$5:$M$104,"Paid")</f>
        <v>0</v>
      </c>
      <c r="F176" s="8"/>
      <c r="G176" s="9">
        <f t="shared" si="30"/>
        <v>0</v>
      </c>
      <c r="H176" s="9">
        <f t="shared" si="31"/>
        <v>0</v>
      </c>
      <c r="I176" s="9">
        <f t="shared" si="32"/>
        <v>0</v>
      </c>
      <c r="J176" s="8"/>
      <c r="K176" s="9" t="str">
        <f t="shared" si="33"/>
        <v/>
      </c>
      <c r="L176" s="3"/>
    </row>
    <row r="177" spans="1:12">
      <c r="A177" s="17">
        <f t="shared" si="34"/>
        <v>46376</v>
      </c>
      <c r="B177" s="14">
        <f t="shared" si="35"/>
        <v>0</v>
      </c>
      <c r="C177" s="14">
        <f>SUMIFS(Orders!$M$5:$M$154,Orders!$B$5:$B$154,A177,Orders!$P$5:$P$154,"Cash",Orders!$Q$5:$Q$154,"Paid",Orders!$R$5:$R$154,"Completed")</f>
        <v>0</v>
      </c>
      <c r="D177" s="8"/>
      <c r="E177" s="14">
        <f>SUMIFS(Expenses!$J$5:$J$104,Expenses!$B$5:$B$104,A177,Expenses!$K$5:$K$104,"Cash",Expenses!$M$5:$M$104,"Paid")</f>
        <v>0</v>
      </c>
      <c r="F177" s="8"/>
      <c r="G177" s="9">
        <f t="shared" si="30"/>
        <v>0</v>
      </c>
      <c r="H177" s="9">
        <f t="shared" si="31"/>
        <v>0</v>
      </c>
      <c r="I177" s="9">
        <f t="shared" si="32"/>
        <v>0</v>
      </c>
      <c r="J177" s="8"/>
      <c r="K177" s="9" t="str">
        <f t="shared" si="33"/>
        <v/>
      </c>
      <c r="L177" s="3"/>
    </row>
    <row r="178" spans="1:12">
      <c r="A178" s="17">
        <f t="shared" si="34"/>
        <v>46377</v>
      </c>
      <c r="B178" s="14">
        <f t="shared" si="35"/>
        <v>0</v>
      </c>
      <c r="C178" s="14">
        <f>SUMIFS(Orders!$M$5:$M$154,Orders!$B$5:$B$154,A178,Orders!$P$5:$P$154,"Cash",Orders!$Q$5:$Q$154,"Paid",Orders!$R$5:$R$154,"Completed")</f>
        <v>0</v>
      </c>
      <c r="D178" s="8"/>
      <c r="E178" s="14">
        <f>SUMIFS(Expenses!$J$5:$J$104,Expenses!$B$5:$B$104,A178,Expenses!$K$5:$K$104,"Cash",Expenses!$M$5:$M$104,"Paid")</f>
        <v>0</v>
      </c>
      <c r="F178" s="8"/>
      <c r="G178" s="9">
        <f t="shared" si="30"/>
        <v>0</v>
      </c>
      <c r="H178" s="9">
        <f t="shared" si="31"/>
        <v>0</v>
      </c>
      <c r="I178" s="9">
        <f t="shared" si="32"/>
        <v>0</v>
      </c>
      <c r="J178" s="8"/>
      <c r="K178" s="9" t="str">
        <f t="shared" si="33"/>
        <v/>
      </c>
      <c r="L178" s="3"/>
    </row>
    <row r="179" spans="1:12">
      <c r="A179" s="17">
        <f t="shared" si="34"/>
        <v>46378</v>
      </c>
      <c r="B179" s="14">
        <f t="shared" si="35"/>
        <v>0</v>
      </c>
      <c r="C179" s="14">
        <f>SUMIFS(Orders!$M$5:$M$154,Orders!$B$5:$B$154,A179,Orders!$P$5:$P$154,"Cash",Orders!$Q$5:$Q$154,"Paid",Orders!$R$5:$R$154,"Completed")</f>
        <v>0</v>
      </c>
      <c r="D179" s="8"/>
      <c r="E179" s="14">
        <f>SUMIFS(Expenses!$J$5:$J$104,Expenses!$B$5:$B$104,A179,Expenses!$K$5:$K$104,"Cash",Expenses!$M$5:$M$104,"Paid")</f>
        <v>0</v>
      </c>
      <c r="F179" s="8"/>
      <c r="G179" s="9">
        <f t="shared" si="30"/>
        <v>0</v>
      </c>
      <c r="H179" s="9">
        <f t="shared" si="31"/>
        <v>0</v>
      </c>
      <c r="I179" s="9">
        <f t="shared" si="32"/>
        <v>0</v>
      </c>
      <c r="J179" s="8"/>
      <c r="K179" s="9" t="str">
        <f t="shared" si="33"/>
        <v/>
      </c>
      <c r="L179" s="3"/>
    </row>
    <row r="180" spans="1:12">
      <c r="A180" s="17">
        <f t="shared" si="34"/>
        <v>46379</v>
      </c>
      <c r="B180" s="14">
        <f t="shared" si="35"/>
        <v>0</v>
      </c>
      <c r="C180" s="14">
        <f>SUMIFS(Orders!$M$5:$M$154,Orders!$B$5:$B$154,A180,Orders!$P$5:$P$154,"Cash",Orders!$Q$5:$Q$154,"Paid",Orders!$R$5:$R$154,"Completed")</f>
        <v>0</v>
      </c>
      <c r="D180" s="8"/>
      <c r="E180" s="14">
        <f>SUMIFS(Expenses!$J$5:$J$104,Expenses!$B$5:$B$104,A180,Expenses!$K$5:$K$104,"Cash",Expenses!$M$5:$M$104,"Paid")</f>
        <v>0</v>
      </c>
      <c r="F180" s="8"/>
      <c r="G180" s="9">
        <f t="shared" si="30"/>
        <v>0</v>
      </c>
      <c r="H180" s="9">
        <f t="shared" si="31"/>
        <v>0</v>
      </c>
      <c r="I180" s="9">
        <f t="shared" si="32"/>
        <v>0</v>
      </c>
      <c r="J180" s="8"/>
      <c r="K180" s="9" t="str">
        <f t="shared" si="33"/>
        <v/>
      </c>
      <c r="L180" s="3"/>
    </row>
    <row r="181" spans="1:12">
      <c r="A181" s="17">
        <f t="shared" si="34"/>
        <v>46380</v>
      </c>
      <c r="B181" s="14">
        <f t="shared" si="35"/>
        <v>0</v>
      </c>
      <c r="C181" s="14">
        <f>SUMIFS(Orders!$M$5:$M$154,Orders!$B$5:$B$154,A181,Orders!$P$5:$P$154,"Cash",Orders!$Q$5:$Q$154,"Paid",Orders!$R$5:$R$154,"Completed")</f>
        <v>0</v>
      </c>
      <c r="D181" s="8"/>
      <c r="E181" s="14">
        <f>SUMIFS(Expenses!$J$5:$J$104,Expenses!$B$5:$B$104,A181,Expenses!$K$5:$K$104,"Cash",Expenses!$M$5:$M$104,"Paid")</f>
        <v>0</v>
      </c>
      <c r="F181" s="8"/>
      <c r="G181" s="9">
        <f t="shared" si="30"/>
        <v>0</v>
      </c>
      <c r="H181" s="9">
        <f t="shared" si="31"/>
        <v>0</v>
      </c>
      <c r="I181" s="9">
        <f t="shared" si="32"/>
        <v>0</v>
      </c>
      <c r="J181" s="8"/>
      <c r="K181" s="9" t="str">
        <f t="shared" si="33"/>
        <v/>
      </c>
      <c r="L181" s="3"/>
    </row>
    <row r="182" spans="1:12">
      <c r="A182" s="17">
        <f t="shared" si="34"/>
        <v>46381</v>
      </c>
      <c r="B182" s="14">
        <f t="shared" si="35"/>
        <v>0</v>
      </c>
      <c r="C182" s="14">
        <f>SUMIFS(Orders!$M$5:$M$154,Orders!$B$5:$B$154,A182,Orders!$P$5:$P$154,"Cash",Orders!$Q$5:$Q$154,"Paid",Orders!$R$5:$R$154,"Completed")</f>
        <v>0</v>
      </c>
      <c r="D182" s="8"/>
      <c r="E182" s="14">
        <f>SUMIFS(Expenses!$J$5:$J$104,Expenses!$B$5:$B$104,A182,Expenses!$K$5:$K$104,"Cash",Expenses!$M$5:$M$104,"Paid")</f>
        <v>0</v>
      </c>
      <c r="F182" s="8"/>
      <c r="G182" s="9">
        <f t="shared" si="30"/>
        <v>0</v>
      </c>
      <c r="H182" s="9">
        <f t="shared" si="31"/>
        <v>0</v>
      </c>
      <c r="I182" s="9">
        <f t="shared" si="32"/>
        <v>0</v>
      </c>
      <c r="J182" s="8"/>
      <c r="K182" s="9" t="str">
        <f t="shared" si="33"/>
        <v/>
      </c>
      <c r="L182" s="3"/>
    </row>
    <row r="183" spans="1:12">
      <c r="A183" s="17">
        <f t="shared" si="34"/>
        <v>46382</v>
      </c>
      <c r="B183" s="14">
        <f t="shared" si="35"/>
        <v>0</v>
      </c>
      <c r="C183" s="14">
        <f>SUMIFS(Orders!$M$5:$M$154,Orders!$B$5:$B$154,A183,Orders!$P$5:$P$154,"Cash",Orders!$Q$5:$Q$154,"Paid",Orders!$R$5:$R$154,"Completed")</f>
        <v>0</v>
      </c>
      <c r="D183" s="8"/>
      <c r="E183" s="14">
        <f>SUMIFS(Expenses!$J$5:$J$104,Expenses!$B$5:$B$104,A183,Expenses!$K$5:$K$104,"Cash",Expenses!$M$5:$M$104,"Paid")</f>
        <v>0</v>
      </c>
      <c r="F183" s="8"/>
      <c r="G183" s="9">
        <f t="shared" si="30"/>
        <v>0</v>
      </c>
      <c r="H183" s="9">
        <f t="shared" si="31"/>
        <v>0</v>
      </c>
      <c r="I183" s="9">
        <f t="shared" si="32"/>
        <v>0</v>
      </c>
      <c r="J183" s="8"/>
      <c r="K183" s="9" t="str">
        <f t="shared" si="33"/>
        <v/>
      </c>
      <c r="L183" s="3"/>
    </row>
    <row r="184" spans="1:12">
      <c r="A184" s="17">
        <f t="shared" si="34"/>
        <v>46383</v>
      </c>
      <c r="B184" s="14">
        <f t="shared" si="35"/>
        <v>0</v>
      </c>
      <c r="C184" s="14">
        <f>SUMIFS(Orders!$M$5:$M$154,Orders!$B$5:$B$154,A184,Orders!$P$5:$P$154,"Cash",Orders!$Q$5:$Q$154,"Paid",Orders!$R$5:$R$154,"Completed")</f>
        <v>0</v>
      </c>
      <c r="D184" s="8"/>
      <c r="E184" s="14">
        <f>SUMIFS(Expenses!$J$5:$J$104,Expenses!$B$5:$B$104,A184,Expenses!$K$5:$K$104,"Cash",Expenses!$M$5:$M$104,"Paid")</f>
        <v>0</v>
      </c>
      <c r="F184" s="8"/>
      <c r="G184" s="9">
        <f t="shared" si="30"/>
        <v>0</v>
      </c>
      <c r="H184" s="9">
        <f t="shared" si="31"/>
        <v>0</v>
      </c>
      <c r="I184" s="9">
        <f t="shared" si="32"/>
        <v>0</v>
      </c>
      <c r="J184" s="8"/>
      <c r="K184" s="9" t="str">
        <f t="shared" si="33"/>
        <v/>
      </c>
      <c r="L184" s="3"/>
    </row>
    <row r="185" spans="1:12">
      <c r="A185" s="17">
        <f t="shared" si="34"/>
        <v>46384</v>
      </c>
      <c r="B185" s="14">
        <f t="shared" si="35"/>
        <v>0</v>
      </c>
      <c r="C185" s="14">
        <f>SUMIFS(Orders!$M$5:$M$154,Orders!$B$5:$B$154,A185,Orders!$P$5:$P$154,"Cash",Orders!$Q$5:$Q$154,"Paid",Orders!$R$5:$R$154,"Completed")</f>
        <v>0</v>
      </c>
      <c r="D185" s="8"/>
      <c r="E185" s="14">
        <f>SUMIFS(Expenses!$J$5:$J$104,Expenses!$B$5:$B$104,A185,Expenses!$K$5:$K$104,"Cash",Expenses!$M$5:$M$104,"Paid")</f>
        <v>0</v>
      </c>
      <c r="F185" s="8"/>
      <c r="G185" s="9">
        <f t="shared" si="30"/>
        <v>0</v>
      </c>
      <c r="H185" s="9">
        <f t="shared" si="31"/>
        <v>0</v>
      </c>
      <c r="I185" s="9">
        <f t="shared" si="32"/>
        <v>0</v>
      </c>
      <c r="J185" s="8"/>
      <c r="K185" s="9" t="str">
        <f t="shared" si="33"/>
        <v/>
      </c>
      <c r="L185" s="3"/>
    </row>
    <row r="186" spans="1:12">
      <c r="A186" s="17">
        <f t="shared" si="34"/>
        <v>46385</v>
      </c>
      <c r="B186" s="14">
        <f t="shared" si="35"/>
        <v>0</v>
      </c>
      <c r="C186" s="14">
        <f>SUMIFS(Orders!$M$5:$M$154,Orders!$B$5:$B$154,A186,Orders!$P$5:$P$154,"Cash",Orders!$Q$5:$Q$154,"Paid",Orders!$R$5:$R$154,"Completed")</f>
        <v>0</v>
      </c>
      <c r="D186" s="8"/>
      <c r="E186" s="14">
        <f>SUMIFS(Expenses!$J$5:$J$104,Expenses!$B$5:$B$104,A186,Expenses!$K$5:$K$104,"Cash",Expenses!$M$5:$M$104,"Paid")</f>
        <v>0</v>
      </c>
      <c r="F186" s="8"/>
      <c r="G186" s="9">
        <f t="shared" si="30"/>
        <v>0</v>
      </c>
      <c r="H186" s="9">
        <f t="shared" si="31"/>
        <v>0</v>
      </c>
      <c r="I186" s="9">
        <f t="shared" si="32"/>
        <v>0</v>
      </c>
      <c r="J186" s="8"/>
      <c r="K186" s="9" t="str">
        <f t="shared" si="33"/>
        <v/>
      </c>
      <c r="L186" s="3"/>
    </row>
    <row r="187" spans="1:12">
      <c r="A187" s="17">
        <f t="shared" si="34"/>
        <v>46386</v>
      </c>
      <c r="B187" s="14">
        <f t="shared" si="35"/>
        <v>0</v>
      </c>
      <c r="C187" s="14">
        <f>SUMIFS(Orders!$M$5:$M$154,Orders!$B$5:$B$154,A187,Orders!$P$5:$P$154,"Cash",Orders!$Q$5:$Q$154,"Paid",Orders!$R$5:$R$154,"Completed")</f>
        <v>0</v>
      </c>
      <c r="D187" s="8"/>
      <c r="E187" s="14">
        <f>SUMIFS(Expenses!$J$5:$J$104,Expenses!$B$5:$B$104,A187,Expenses!$K$5:$K$104,"Cash",Expenses!$M$5:$M$104,"Paid")</f>
        <v>0</v>
      </c>
      <c r="F187" s="8"/>
      <c r="G187" s="9">
        <f t="shared" si="30"/>
        <v>0</v>
      </c>
      <c r="H187" s="9">
        <f t="shared" si="31"/>
        <v>0</v>
      </c>
      <c r="I187" s="9">
        <f t="shared" si="32"/>
        <v>0</v>
      </c>
      <c r="J187" s="8"/>
      <c r="K187" s="9" t="str">
        <f t="shared" si="33"/>
        <v/>
      </c>
      <c r="L187" s="3"/>
    </row>
    <row r="188" spans="1:12">
      <c r="A188" s="17">
        <f t="shared" si="34"/>
        <v>46387</v>
      </c>
      <c r="B188" s="14">
        <f t="shared" si="35"/>
        <v>0</v>
      </c>
      <c r="C188" s="14">
        <f>SUMIFS(Orders!$M$5:$M$154,Orders!$B$5:$B$154,A188,Orders!$P$5:$P$154,"Cash",Orders!$Q$5:$Q$154,"Paid",Orders!$R$5:$R$154,"Completed")</f>
        <v>0</v>
      </c>
      <c r="D188" s="8"/>
      <c r="E188" s="14">
        <f>SUMIFS(Expenses!$J$5:$J$104,Expenses!$B$5:$B$104,A188,Expenses!$K$5:$K$104,"Cash",Expenses!$M$5:$M$104,"Paid")</f>
        <v>0</v>
      </c>
      <c r="F188" s="8"/>
      <c r="G188" s="9">
        <f t="shared" si="30"/>
        <v>0</v>
      </c>
      <c r="H188" s="9">
        <f t="shared" si="31"/>
        <v>0</v>
      </c>
      <c r="I188" s="9">
        <f t="shared" si="32"/>
        <v>0</v>
      </c>
      <c r="J188" s="8"/>
      <c r="K188" s="9" t="str">
        <f t="shared" si="33"/>
        <v/>
      </c>
      <c r="L188" s="3"/>
    </row>
    <row r="189" spans="1:12">
      <c r="A189" s="17">
        <f t="shared" si="34"/>
        <v>46388</v>
      </c>
      <c r="B189" s="14">
        <f t="shared" si="35"/>
        <v>0</v>
      </c>
      <c r="C189" s="14">
        <f>SUMIFS(Orders!$M$5:$M$154,Orders!$B$5:$B$154,A189,Orders!$P$5:$P$154,"Cash",Orders!$Q$5:$Q$154,"Paid",Orders!$R$5:$R$154,"Completed")</f>
        <v>0</v>
      </c>
      <c r="D189" s="8"/>
      <c r="E189" s="14">
        <f>SUMIFS(Expenses!$J$5:$J$104,Expenses!$B$5:$B$104,A189,Expenses!$K$5:$K$104,"Cash",Expenses!$M$5:$M$104,"Paid")</f>
        <v>0</v>
      </c>
      <c r="F189" s="8"/>
      <c r="G189" s="9">
        <f t="shared" si="30"/>
        <v>0</v>
      </c>
      <c r="H189" s="9">
        <f t="shared" si="31"/>
        <v>0</v>
      </c>
      <c r="I189" s="9">
        <f t="shared" si="32"/>
        <v>0</v>
      </c>
      <c r="J189" s="8"/>
      <c r="K189" s="9" t="str">
        <f t="shared" si="33"/>
        <v/>
      </c>
      <c r="L189" s="3"/>
    </row>
    <row r="190" spans="1:12">
      <c r="A190" s="17">
        <f t="shared" si="34"/>
        <v>46389</v>
      </c>
      <c r="B190" s="14">
        <f t="shared" si="35"/>
        <v>0</v>
      </c>
      <c r="C190" s="14">
        <f>SUMIFS(Orders!$M$5:$M$154,Orders!$B$5:$B$154,A190,Orders!$P$5:$P$154,"Cash",Orders!$Q$5:$Q$154,"Paid",Orders!$R$5:$R$154,"Completed")</f>
        <v>0</v>
      </c>
      <c r="D190" s="8"/>
      <c r="E190" s="14">
        <f>SUMIFS(Expenses!$J$5:$J$104,Expenses!$B$5:$B$104,A190,Expenses!$K$5:$K$104,"Cash",Expenses!$M$5:$M$104,"Paid")</f>
        <v>0</v>
      </c>
      <c r="F190" s="8"/>
      <c r="G190" s="9">
        <f t="shared" si="30"/>
        <v>0</v>
      </c>
      <c r="H190" s="9">
        <f t="shared" si="31"/>
        <v>0</v>
      </c>
      <c r="I190" s="9">
        <f t="shared" si="32"/>
        <v>0</v>
      </c>
      <c r="J190" s="8"/>
      <c r="K190" s="9" t="str">
        <f t="shared" si="33"/>
        <v/>
      </c>
      <c r="L190" s="3"/>
    </row>
    <row r="191" spans="1:12">
      <c r="A191" s="17">
        <f t="shared" si="34"/>
        <v>46390</v>
      </c>
      <c r="B191" s="14">
        <f t="shared" si="35"/>
        <v>0</v>
      </c>
      <c r="C191" s="14">
        <f>SUMIFS(Orders!$M$5:$M$154,Orders!$B$5:$B$154,A191,Orders!$P$5:$P$154,"Cash",Orders!$Q$5:$Q$154,"Paid",Orders!$R$5:$R$154,"Completed")</f>
        <v>0</v>
      </c>
      <c r="D191" s="8"/>
      <c r="E191" s="14">
        <f>SUMIFS(Expenses!$J$5:$J$104,Expenses!$B$5:$B$104,A191,Expenses!$K$5:$K$104,"Cash",Expenses!$M$5:$M$104,"Paid")</f>
        <v>0</v>
      </c>
      <c r="F191" s="8"/>
      <c r="G191" s="9">
        <f t="shared" si="30"/>
        <v>0</v>
      </c>
      <c r="H191" s="9">
        <f t="shared" si="31"/>
        <v>0</v>
      </c>
      <c r="I191" s="9">
        <f t="shared" si="32"/>
        <v>0</v>
      </c>
      <c r="J191" s="8"/>
      <c r="K191" s="9" t="str">
        <f t="shared" si="33"/>
        <v/>
      </c>
      <c r="L191" s="3"/>
    </row>
    <row r="192" spans="1:12">
      <c r="A192" s="17">
        <f t="shared" si="34"/>
        <v>46391</v>
      </c>
      <c r="B192" s="14">
        <f t="shared" si="35"/>
        <v>0</v>
      </c>
      <c r="C192" s="14">
        <f>SUMIFS(Orders!$M$5:$M$154,Orders!$B$5:$B$154,A192,Orders!$P$5:$P$154,"Cash",Orders!$Q$5:$Q$154,"Paid",Orders!$R$5:$R$154,"Completed")</f>
        <v>0</v>
      </c>
      <c r="D192" s="8"/>
      <c r="E192" s="14">
        <f>SUMIFS(Expenses!$J$5:$J$104,Expenses!$B$5:$B$104,A192,Expenses!$K$5:$K$104,"Cash",Expenses!$M$5:$M$104,"Paid")</f>
        <v>0</v>
      </c>
      <c r="F192" s="8"/>
      <c r="G192" s="9">
        <f t="shared" si="30"/>
        <v>0</v>
      </c>
      <c r="H192" s="9">
        <f t="shared" si="31"/>
        <v>0</v>
      </c>
      <c r="I192" s="9">
        <f t="shared" si="32"/>
        <v>0</v>
      </c>
      <c r="J192" s="8"/>
      <c r="K192" s="9" t="str">
        <f t="shared" si="33"/>
        <v/>
      </c>
      <c r="L192" s="3"/>
    </row>
    <row r="193" spans="1:12">
      <c r="A193" s="17">
        <f t="shared" si="34"/>
        <v>46392</v>
      </c>
      <c r="B193" s="14">
        <f t="shared" si="35"/>
        <v>0</v>
      </c>
      <c r="C193" s="14">
        <f>SUMIFS(Orders!$M$5:$M$154,Orders!$B$5:$B$154,A193,Orders!$P$5:$P$154,"Cash",Orders!$Q$5:$Q$154,"Paid",Orders!$R$5:$R$154,"Completed")</f>
        <v>0</v>
      </c>
      <c r="D193" s="8"/>
      <c r="E193" s="14">
        <f>SUMIFS(Expenses!$J$5:$J$104,Expenses!$B$5:$B$104,A193,Expenses!$K$5:$K$104,"Cash",Expenses!$M$5:$M$104,"Paid")</f>
        <v>0</v>
      </c>
      <c r="F193" s="8"/>
      <c r="G193" s="9">
        <f t="shared" si="30"/>
        <v>0</v>
      </c>
      <c r="H193" s="9">
        <f t="shared" si="31"/>
        <v>0</v>
      </c>
      <c r="I193" s="9">
        <f t="shared" si="32"/>
        <v>0</v>
      </c>
      <c r="J193" s="8"/>
      <c r="K193" s="9" t="str">
        <f t="shared" si="33"/>
        <v/>
      </c>
      <c r="L193" s="3"/>
    </row>
    <row r="194" spans="1:12">
      <c r="A194" s="17">
        <f t="shared" si="34"/>
        <v>46393</v>
      </c>
      <c r="B194" s="14">
        <f t="shared" si="35"/>
        <v>0</v>
      </c>
      <c r="C194" s="14">
        <f>SUMIFS(Orders!$M$5:$M$154,Orders!$B$5:$B$154,A194,Orders!$P$5:$P$154,"Cash",Orders!$Q$5:$Q$154,"Paid",Orders!$R$5:$R$154,"Completed")</f>
        <v>0</v>
      </c>
      <c r="D194" s="8"/>
      <c r="E194" s="14">
        <f>SUMIFS(Expenses!$J$5:$J$104,Expenses!$B$5:$B$104,A194,Expenses!$K$5:$K$104,"Cash",Expenses!$M$5:$M$104,"Paid")</f>
        <v>0</v>
      </c>
      <c r="F194" s="8"/>
      <c r="G194" s="9">
        <f t="shared" si="30"/>
        <v>0</v>
      </c>
      <c r="H194" s="9">
        <f t="shared" si="31"/>
        <v>0</v>
      </c>
      <c r="I194" s="9">
        <f t="shared" si="32"/>
        <v>0</v>
      </c>
      <c r="J194" s="8"/>
      <c r="K194" s="9" t="str">
        <f t="shared" si="33"/>
        <v/>
      </c>
      <c r="L194" s="3"/>
    </row>
    <row r="195" spans="1:12">
      <c r="A195" s="17">
        <f t="shared" si="34"/>
        <v>46394</v>
      </c>
      <c r="B195" s="14">
        <f t="shared" si="35"/>
        <v>0</v>
      </c>
      <c r="C195" s="14">
        <f>SUMIFS(Orders!$M$5:$M$154,Orders!$B$5:$B$154,A195,Orders!$P$5:$P$154,"Cash",Orders!$Q$5:$Q$154,"Paid",Orders!$R$5:$R$154,"Completed")</f>
        <v>0</v>
      </c>
      <c r="D195" s="8"/>
      <c r="E195" s="14">
        <f>SUMIFS(Expenses!$J$5:$J$104,Expenses!$B$5:$B$104,A195,Expenses!$K$5:$K$104,"Cash",Expenses!$M$5:$M$104,"Paid")</f>
        <v>0</v>
      </c>
      <c r="F195" s="8"/>
      <c r="G195" s="9">
        <f t="shared" si="30"/>
        <v>0</v>
      </c>
      <c r="H195" s="9">
        <f t="shared" si="31"/>
        <v>0</v>
      </c>
      <c r="I195" s="9">
        <f t="shared" si="32"/>
        <v>0</v>
      </c>
      <c r="J195" s="8"/>
      <c r="K195" s="9" t="str">
        <f t="shared" si="33"/>
        <v/>
      </c>
      <c r="L195" s="3"/>
    </row>
    <row r="196" spans="1:12">
      <c r="A196" s="17">
        <f t="shared" si="34"/>
        <v>46395</v>
      </c>
      <c r="B196" s="14">
        <f t="shared" si="35"/>
        <v>0</v>
      </c>
      <c r="C196" s="14">
        <f>SUMIFS(Orders!$M$5:$M$154,Orders!$B$5:$B$154,A196,Orders!$P$5:$P$154,"Cash",Orders!$Q$5:$Q$154,"Paid",Orders!$R$5:$R$154,"Completed")</f>
        <v>0</v>
      </c>
      <c r="D196" s="8"/>
      <c r="E196" s="14">
        <f>SUMIFS(Expenses!$J$5:$J$104,Expenses!$B$5:$B$104,A196,Expenses!$K$5:$K$104,"Cash",Expenses!$M$5:$M$104,"Paid")</f>
        <v>0</v>
      </c>
      <c r="F196" s="8"/>
      <c r="G196" s="9">
        <f t="shared" si="30"/>
        <v>0</v>
      </c>
      <c r="H196" s="9">
        <f t="shared" si="31"/>
        <v>0</v>
      </c>
      <c r="I196" s="9">
        <f t="shared" si="32"/>
        <v>0</v>
      </c>
      <c r="J196" s="8"/>
      <c r="K196" s="9" t="str">
        <f t="shared" si="33"/>
        <v/>
      </c>
      <c r="L196" s="3"/>
    </row>
    <row r="197" spans="1:12">
      <c r="A197" s="17">
        <f t="shared" si="34"/>
        <v>46396</v>
      </c>
      <c r="B197" s="14">
        <f t="shared" si="35"/>
        <v>0</v>
      </c>
      <c r="C197" s="14">
        <f>SUMIFS(Orders!$M$5:$M$154,Orders!$B$5:$B$154,A197,Orders!$P$5:$P$154,"Cash",Orders!$Q$5:$Q$154,"Paid",Orders!$R$5:$R$154,"Completed")</f>
        <v>0</v>
      </c>
      <c r="D197" s="8"/>
      <c r="E197" s="14">
        <f>SUMIFS(Expenses!$J$5:$J$104,Expenses!$B$5:$B$104,A197,Expenses!$K$5:$K$104,"Cash",Expenses!$M$5:$M$104,"Paid")</f>
        <v>0</v>
      </c>
      <c r="F197" s="8"/>
      <c r="G197" s="9">
        <f t="shared" ref="G197:G204" si="36">C197+IF(D197="",0,D197)</f>
        <v>0</v>
      </c>
      <c r="H197" s="9">
        <f t="shared" ref="H197:H204" si="37">E197+IF(F197="",0,F197)</f>
        <v>0</v>
      </c>
      <c r="I197" s="9">
        <f t="shared" ref="I197:I228" si="38">B197+G197-H197</f>
        <v>0</v>
      </c>
      <c r="J197" s="8"/>
      <c r="K197" s="9" t="str">
        <f t="shared" ref="K197:K228" si="39">IF(J197="","",J197-I197)</f>
        <v/>
      </c>
      <c r="L197" s="3"/>
    </row>
    <row r="198" spans="1:12">
      <c r="A198" s="17">
        <f t="shared" ref="A198:A204" si="40">A197+1</f>
        <v>46397</v>
      </c>
      <c r="B198" s="14">
        <f t="shared" ref="B198:B204" si="41">IF(J197&lt;&gt;"",J197,I197)</f>
        <v>0</v>
      </c>
      <c r="C198" s="14">
        <f>SUMIFS(Orders!$M$5:$M$154,Orders!$B$5:$B$154,A198,Orders!$P$5:$P$154,"Cash",Orders!$Q$5:$Q$154,"Paid",Orders!$R$5:$R$154,"Completed")</f>
        <v>0</v>
      </c>
      <c r="D198" s="8"/>
      <c r="E198" s="14">
        <f>SUMIFS(Expenses!$J$5:$J$104,Expenses!$B$5:$B$104,A198,Expenses!$K$5:$K$104,"Cash",Expenses!$M$5:$M$104,"Paid")</f>
        <v>0</v>
      </c>
      <c r="F198" s="8"/>
      <c r="G198" s="9">
        <f t="shared" si="36"/>
        <v>0</v>
      </c>
      <c r="H198" s="9">
        <f t="shared" si="37"/>
        <v>0</v>
      </c>
      <c r="I198" s="9">
        <f t="shared" si="38"/>
        <v>0</v>
      </c>
      <c r="J198" s="8"/>
      <c r="K198" s="9" t="str">
        <f t="shared" si="39"/>
        <v/>
      </c>
      <c r="L198" s="3"/>
    </row>
    <row r="199" spans="1:12">
      <c r="A199" s="17">
        <f t="shared" si="40"/>
        <v>46398</v>
      </c>
      <c r="B199" s="14">
        <f t="shared" si="41"/>
        <v>0</v>
      </c>
      <c r="C199" s="14">
        <f>SUMIFS(Orders!$M$5:$M$154,Orders!$B$5:$B$154,A199,Orders!$P$5:$P$154,"Cash",Orders!$Q$5:$Q$154,"Paid",Orders!$R$5:$R$154,"Completed")</f>
        <v>0</v>
      </c>
      <c r="D199" s="8"/>
      <c r="E199" s="14">
        <f>SUMIFS(Expenses!$J$5:$J$104,Expenses!$B$5:$B$104,A199,Expenses!$K$5:$K$104,"Cash",Expenses!$M$5:$M$104,"Paid")</f>
        <v>0</v>
      </c>
      <c r="F199" s="8"/>
      <c r="G199" s="9">
        <f t="shared" si="36"/>
        <v>0</v>
      </c>
      <c r="H199" s="9">
        <f t="shared" si="37"/>
        <v>0</v>
      </c>
      <c r="I199" s="9">
        <f t="shared" si="38"/>
        <v>0</v>
      </c>
      <c r="J199" s="8"/>
      <c r="K199" s="9" t="str">
        <f t="shared" si="39"/>
        <v/>
      </c>
      <c r="L199" s="3"/>
    </row>
    <row r="200" spans="1:12">
      <c r="A200" s="17">
        <f t="shared" si="40"/>
        <v>46399</v>
      </c>
      <c r="B200" s="14">
        <f t="shared" si="41"/>
        <v>0</v>
      </c>
      <c r="C200" s="14">
        <f>SUMIFS(Orders!$M$5:$M$154,Orders!$B$5:$B$154,A200,Orders!$P$5:$P$154,"Cash",Orders!$Q$5:$Q$154,"Paid",Orders!$R$5:$R$154,"Completed")</f>
        <v>0</v>
      </c>
      <c r="D200" s="8"/>
      <c r="E200" s="14">
        <f>SUMIFS(Expenses!$J$5:$J$104,Expenses!$B$5:$B$104,A200,Expenses!$K$5:$K$104,"Cash",Expenses!$M$5:$M$104,"Paid")</f>
        <v>0</v>
      </c>
      <c r="F200" s="8"/>
      <c r="G200" s="9">
        <f t="shared" si="36"/>
        <v>0</v>
      </c>
      <c r="H200" s="9">
        <f t="shared" si="37"/>
        <v>0</v>
      </c>
      <c r="I200" s="9">
        <f t="shared" si="38"/>
        <v>0</v>
      </c>
      <c r="J200" s="8"/>
      <c r="K200" s="9" t="str">
        <f t="shared" si="39"/>
        <v/>
      </c>
      <c r="L200" s="3"/>
    </row>
    <row r="201" spans="1:12">
      <c r="A201" s="17">
        <f t="shared" si="40"/>
        <v>46400</v>
      </c>
      <c r="B201" s="14">
        <f t="shared" si="41"/>
        <v>0</v>
      </c>
      <c r="C201" s="14">
        <f>SUMIFS(Orders!$M$5:$M$154,Orders!$B$5:$B$154,A201,Orders!$P$5:$P$154,"Cash",Orders!$Q$5:$Q$154,"Paid",Orders!$R$5:$R$154,"Completed")</f>
        <v>0</v>
      </c>
      <c r="D201" s="8"/>
      <c r="E201" s="14">
        <f>SUMIFS(Expenses!$J$5:$J$104,Expenses!$B$5:$B$104,A201,Expenses!$K$5:$K$104,"Cash",Expenses!$M$5:$M$104,"Paid")</f>
        <v>0</v>
      </c>
      <c r="F201" s="8"/>
      <c r="G201" s="9">
        <f t="shared" si="36"/>
        <v>0</v>
      </c>
      <c r="H201" s="9">
        <f t="shared" si="37"/>
        <v>0</v>
      </c>
      <c r="I201" s="9">
        <f t="shared" si="38"/>
        <v>0</v>
      </c>
      <c r="J201" s="8"/>
      <c r="K201" s="9" t="str">
        <f t="shared" si="39"/>
        <v/>
      </c>
      <c r="L201" s="3"/>
    </row>
    <row r="202" spans="1:12">
      <c r="A202" s="17">
        <f t="shared" si="40"/>
        <v>46401</v>
      </c>
      <c r="B202" s="14">
        <f t="shared" si="41"/>
        <v>0</v>
      </c>
      <c r="C202" s="14">
        <f>SUMIFS(Orders!$M$5:$M$154,Orders!$B$5:$B$154,A202,Orders!$P$5:$P$154,"Cash",Orders!$Q$5:$Q$154,"Paid",Orders!$R$5:$R$154,"Completed")</f>
        <v>0</v>
      </c>
      <c r="D202" s="8"/>
      <c r="E202" s="14">
        <f>SUMIFS(Expenses!$J$5:$J$104,Expenses!$B$5:$B$104,A202,Expenses!$K$5:$K$104,"Cash",Expenses!$M$5:$M$104,"Paid")</f>
        <v>0</v>
      </c>
      <c r="F202" s="8"/>
      <c r="G202" s="9">
        <f t="shared" si="36"/>
        <v>0</v>
      </c>
      <c r="H202" s="9">
        <f t="shared" si="37"/>
        <v>0</v>
      </c>
      <c r="I202" s="9">
        <f t="shared" si="38"/>
        <v>0</v>
      </c>
      <c r="J202" s="8"/>
      <c r="K202" s="9" t="str">
        <f t="shared" si="39"/>
        <v/>
      </c>
      <c r="L202" s="3"/>
    </row>
    <row r="203" spans="1:12">
      <c r="A203" s="17">
        <f t="shared" si="40"/>
        <v>46402</v>
      </c>
      <c r="B203" s="14">
        <f t="shared" si="41"/>
        <v>0</v>
      </c>
      <c r="C203" s="14">
        <f>SUMIFS(Orders!$M$5:$M$154,Orders!$B$5:$B$154,A203,Orders!$P$5:$P$154,"Cash",Orders!$Q$5:$Q$154,"Paid",Orders!$R$5:$R$154,"Completed")</f>
        <v>0</v>
      </c>
      <c r="D203" s="8"/>
      <c r="E203" s="14">
        <f>SUMIFS(Expenses!$J$5:$J$104,Expenses!$B$5:$B$104,A203,Expenses!$K$5:$K$104,"Cash",Expenses!$M$5:$M$104,"Paid")</f>
        <v>0</v>
      </c>
      <c r="F203" s="8"/>
      <c r="G203" s="9">
        <f t="shared" si="36"/>
        <v>0</v>
      </c>
      <c r="H203" s="9">
        <f t="shared" si="37"/>
        <v>0</v>
      </c>
      <c r="I203" s="9">
        <f t="shared" si="38"/>
        <v>0</v>
      </c>
      <c r="J203" s="8"/>
      <c r="K203" s="9" t="str">
        <f t="shared" si="39"/>
        <v/>
      </c>
      <c r="L203" s="3"/>
    </row>
    <row r="204" spans="1:12">
      <c r="A204" s="17">
        <f t="shared" si="40"/>
        <v>46403</v>
      </c>
      <c r="B204" s="14">
        <f t="shared" si="41"/>
        <v>0</v>
      </c>
      <c r="C204" s="14">
        <f>SUMIFS(Orders!$M$5:$M$154,Orders!$B$5:$B$154,A204,Orders!$P$5:$P$154,"Cash",Orders!$Q$5:$Q$154,"Paid",Orders!$R$5:$R$154,"Completed")</f>
        <v>0</v>
      </c>
      <c r="D204" s="8"/>
      <c r="E204" s="14">
        <f>SUMIFS(Expenses!$J$5:$J$104,Expenses!$B$5:$B$104,A204,Expenses!$K$5:$K$104,"Cash",Expenses!$M$5:$M$104,"Paid")</f>
        <v>0</v>
      </c>
      <c r="F204" s="8"/>
      <c r="G204" s="9">
        <f t="shared" si="36"/>
        <v>0</v>
      </c>
      <c r="H204" s="9">
        <f t="shared" si="37"/>
        <v>0</v>
      </c>
      <c r="I204" s="9">
        <f t="shared" si="38"/>
        <v>0</v>
      </c>
      <c r="J204" s="8"/>
      <c r="K204" s="9" t="str">
        <f t="shared" si="39"/>
        <v/>
      </c>
      <c r="L204" s="3"/>
    </row>
  </sheetData>
  <mergeCells count="2">
    <mergeCell ref="A1:L1"/>
    <mergeCell ref="A2:L2"/>
  </mergeCells>
  <conditionalFormatting sqref="K5:K204">
    <cfRule type="expression" dxfId="7" priority="1">
      <formula>K5&lt;0</formula>
    </cfRule>
    <cfRule type="expression" dxfId="6" priority="2">
      <formula>K5&gt;0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4"/>
  <sheetViews>
    <sheetView workbookViewId="0"/>
  </sheetViews>
  <sheetFormatPr defaultRowHeight="13.8"/>
  <cols>
    <col min="1" max="1" width="28" customWidth="1"/>
    <col min="2" max="9" width="17" customWidth="1"/>
    <col min="10" max="10" width="28" customWidth="1"/>
  </cols>
  <sheetData>
    <row r="1" spans="1:10" ht="27.15" customHeight="1">
      <c r="A1" s="22" t="s">
        <v>125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0.85" customHeight="1">
      <c r="A2" s="24" t="s">
        <v>126</v>
      </c>
      <c r="B2" s="23"/>
      <c r="C2" s="23"/>
      <c r="D2" s="23"/>
      <c r="E2" s="23"/>
      <c r="F2" s="23"/>
      <c r="G2" s="23"/>
      <c r="H2" s="23"/>
      <c r="I2" s="23"/>
      <c r="J2" s="23"/>
    </row>
    <row r="4" spans="1:10" ht="24" customHeight="1">
      <c r="A4" s="1" t="s">
        <v>45</v>
      </c>
      <c r="B4" s="1" t="s">
        <v>88</v>
      </c>
      <c r="C4" s="1" t="s">
        <v>127</v>
      </c>
      <c r="D4" s="1" t="s">
        <v>128</v>
      </c>
      <c r="E4" s="1" t="s">
        <v>129</v>
      </c>
      <c r="F4" s="1" t="s">
        <v>94</v>
      </c>
      <c r="G4" s="1" t="s">
        <v>130</v>
      </c>
      <c r="H4" s="1" t="s">
        <v>131</v>
      </c>
      <c r="I4" s="1" t="s">
        <v>110</v>
      </c>
      <c r="J4" s="1" t="s">
        <v>99</v>
      </c>
    </row>
    <row r="5" spans="1:10">
      <c r="A5" s="3" t="s">
        <v>132</v>
      </c>
      <c r="B5" s="3" t="s">
        <v>133</v>
      </c>
      <c r="C5" s="3" t="s">
        <v>134</v>
      </c>
      <c r="D5" s="3" t="s">
        <v>135</v>
      </c>
      <c r="E5" s="8">
        <v>90</v>
      </c>
      <c r="F5" s="8">
        <v>25</v>
      </c>
      <c r="G5" s="9">
        <f t="shared" ref="G5:G36" si="0">IF(OR(E5="",F5=""),"",E5-F5)</f>
        <v>65</v>
      </c>
      <c r="H5" s="10">
        <f t="shared" ref="H5:H36" si="1">IFERROR(G5/E5,0)</f>
        <v>0.72222222222222221</v>
      </c>
      <c r="I5" s="3" t="s">
        <v>136</v>
      </c>
      <c r="J5" s="3" t="s">
        <v>137</v>
      </c>
    </row>
    <row r="6" spans="1:10">
      <c r="A6" s="3" t="s">
        <v>138</v>
      </c>
      <c r="B6" s="3" t="s">
        <v>133</v>
      </c>
      <c r="C6" s="3" t="s">
        <v>139</v>
      </c>
      <c r="D6" s="3" t="s">
        <v>135</v>
      </c>
      <c r="E6" s="8">
        <v>120</v>
      </c>
      <c r="F6" s="8">
        <v>45</v>
      </c>
      <c r="G6" s="9">
        <f t="shared" si="0"/>
        <v>75</v>
      </c>
      <c r="H6" s="10">
        <f t="shared" si="1"/>
        <v>0.625</v>
      </c>
      <c r="I6" s="3" t="s">
        <v>136</v>
      </c>
      <c r="J6" s="3" t="s">
        <v>137</v>
      </c>
    </row>
    <row r="7" spans="1:10">
      <c r="A7" s="3" t="s">
        <v>140</v>
      </c>
      <c r="B7" s="3" t="s">
        <v>133</v>
      </c>
      <c r="C7" s="3" t="s">
        <v>141</v>
      </c>
      <c r="D7" s="3" t="s">
        <v>135</v>
      </c>
      <c r="E7" s="8">
        <v>130</v>
      </c>
      <c r="F7" s="8">
        <v>50</v>
      </c>
      <c r="G7" s="9">
        <f t="shared" si="0"/>
        <v>80</v>
      </c>
      <c r="H7" s="10">
        <f t="shared" si="1"/>
        <v>0.61538461538461542</v>
      </c>
      <c r="I7" s="3" t="s">
        <v>136</v>
      </c>
      <c r="J7" s="3" t="s">
        <v>137</v>
      </c>
    </row>
    <row r="8" spans="1:10">
      <c r="A8" s="3" t="s">
        <v>142</v>
      </c>
      <c r="B8" s="3" t="s">
        <v>133</v>
      </c>
      <c r="C8" s="3" t="s">
        <v>143</v>
      </c>
      <c r="D8" s="3" t="s">
        <v>135</v>
      </c>
      <c r="E8" s="8">
        <v>140</v>
      </c>
      <c r="F8" s="8">
        <v>55</v>
      </c>
      <c r="G8" s="9">
        <f t="shared" si="0"/>
        <v>85</v>
      </c>
      <c r="H8" s="10">
        <f t="shared" si="1"/>
        <v>0.6071428571428571</v>
      </c>
      <c r="I8" s="3" t="s">
        <v>136</v>
      </c>
      <c r="J8" s="3" t="s">
        <v>137</v>
      </c>
    </row>
    <row r="9" spans="1:10">
      <c r="A9" s="3" t="s">
        <v>144</v>
      </c>
      <c r="B9" s="3" t="s">
        <v>145</v>
      </c>
      <c r="C9" s="3" t="s">
        <v>146</v>
      </c>
      <c r="D9" s="3" t="s">
        <v>135</v>
      </c>
      <c r="E9" s="8">
        <v>140</v>
      </c>
      <c r="F9" s="8">
        <v>60</v>
      </c>
      <c r="G9" s="9">
        <f t="shared" si="0"/>
        <v>80</v>
      </c>
      <c r="H9" s="10">
        <f t="shared" si="1"/>
        <v>0.5714285714285714</v>
      </c>
      <c r="I9" s="3" t="s">
        <v>136</v>
      </c>
      <c r="J9" s="3" t="s">
        <v>137</v>
      </c>
    </row>
    <row r="10" spans="1:10">
      <c r="A10" s="3" t="s">
        <v>147</v>
      </c>
      <c r="B10" s="3" t="s">
        <v>148</v>
      </c>
      <c r="C10" s="3" t="s">
        <v>149</v>
      </c>
      <c r="D10" s="3" t="s">
        <v>135</v>
      </c>
      <c r="E10" s="8">
        <v>120</v>
      </c>
      <c r="F10" s="8">
        <v>45</v>
      </c>
      <c r="G10" s="9">
        <f t="shared" si="0"/>
        <v>75</v>
      </c>
      <c r="H10" s="10">
        <f t="shared" si="1"/>
        <v>0.625</v>
      </c>
      <c r="I10" s="3" t="s">
        <v>136</v>
      </c>
      <c r="J10" s="3" t="s">
        <v>137</v>
      </c>
    </row>
    <row r="11" spans="1:10">
      <c r="A11" s="3" t="s">
        <v>150</v>
      </c>
      <c r="B11" s="3" t="s">
        <v>151</v>
      </c>
      <c r="C11" s="3" t="s">
        <v>150</v>
      </c>
      <c r="D11" s="3" t="s">
        <v>135</v>
      </c>
      <c r="E11" s="8">
        <v>95</v>
      </c>
      <c r="F11" s="8">
        <v>50</v>
      </c>
      <c r="G11" s="9">
        <f t="shared" si="0"/>
        <v>45</v>
      </c>
      <c r="H11" s="10">
        <f t="shared" si="1"/>
        <v>0.47368421052631576</v>
      </c>
      <c r="I11" s="3" t="s">
        <v>136</v>
      </c>
      <c r="J11" s="3" t="s">
        <v>137</v>
      </c>
    </row>
    <row r="12" spans="1:10">
      <c r="A12" s="3" t="s">
        <v>152</v>
      </c>
      <c r="B12" s="3" t="s">
        <v>153</v>
      </c>
      <c r="C12" s="3" t="s">
        <v>152</v>
      </c>
      <c r="D12" s="3" t="s">
        <v>135</v>
      </c>
      <c r="E12" s="8">
        <v>30</v>
      </c>
      <c r="F12" s="8">
        <v>12</v>
      </c>
      <c r="G12" s="9">
        <f t="shared" si="0"/>
        <v>18</v>
      </c>
      <c r="H12" s="10">
        <f t="shared" si="1"/>
        <v>0.6</v>
      </c>
      <c r="I12" s="3" t="s">
        <v>136</v>
      </c>
      <c r="J12" s="3" t="s">
        <v>137</v>
      </c>
    </row>
    <row r="13" spans="1:10">
      <c r="A13" s="3"/>
      <c r="B13" s="3"/>
      <c r="C13" s="3"/>
      <c r="D13" s="3"/>
      <c r="E13" s="8"/>
      <c r="F13" s="8"/>
      <c r="G13" s="9" t="str">
        <f t="shared" si="0"/>
        <v/>
      </c>
      <c r="H13" s="10">
        <f t="shared" si="1"/>
        <v>0</v>
      </c>
      <c r="I13" s="3"/>
      <c r="J13" s="3"/>
    </row>
    <row r="14" spans="1:10">
      <c r="A14" s="3"/>
      <c r="B14" s="3"/>
      <c r="C14" s="3"/>
      <c r="D14" s="3"/>
      <c r="E14" s="8"/>
      <c r="F14" s="8"/>
      <c r="G14" s="9" t="str">
        <f t="shared" si="0"/>
        <v/>
      </c>
      <c r="H14" s="10">
        <f t="shared" si="1"/>
        <v>0</v>
      </c>
      <c r="I14" s="3"/>
      <c r="J14" s="3"/>
    </row>
    <row r="15" spans="1:10">
      <c r="A15" s="3"/>
      <c r="B15" s="3"/>
      <c r="C15" s="3"/>
      <c r="D15" s="3"/>
      <c r="E15" s="8"/>
      <c r="F15" s="8"/>
      <c r="G15" s="9" t="str">
        <f t="shared" si="0"/>
        <v/>
      </c>
      <c r="H15" s="10">
        <f t="shared" si="1"/>
        <v>0</v>
      </c>
      <c r="I15" s="3"/>
      <c r="J15" s="3"/>
    </row>
    <row r="16" spans="1:10">
      <c r="A16" s="3"/>
      <c r="B16" s="3"/>
      <c r="C16" s="3"/>
      <c r="D16" s="3"/>
      <c r="E16" s="8"/>
      <c r="F16" s="8"/>
      <c r="G16" s="9" t="str">
        <f t="shared" si="0"/>
        <v/>
      </c>
      <c r="H16" s="10">
        <f t="shared" si="1"/>
        <v>0</v>
      </c>
      <c r="I16" s="3"/>
      <c r="J16" s="3"/>
    </row>
    <row r="17" spans="1:10">
      <c r="A17" s="3"/>
      <c r="B17" s="3"/>
      <c r="C17" s="3"/>
      <c r="D17" s="3"/>
      <c r="E17" s="8"/>
      <c r="F17" s="8"/>
      <c r="G17" s="9" t="str">
        <f t="shared" si="0"/>
        <v/>
      </c>
      <c r="H17" s="10">
        <f t="shared" si="1"/>
        <v>0</v>
      </c>
      <c r="I17" s="3"/>
      <c r="J17" s="3"/>
    </row>
    <row r="18" spans="1:10">
      <c r="A18" s="3"/>
      <c r="B18" s="3"/>
      <c r="C18" s="3"/>
      <c r="D18" s="3"/>
      <c r="E18" s="8"/>
      <c r="F18" s="8"/>
      <c r="G18" s="9" t="str">
        <f t="shared" si="0"/>
        <v/>
      </c>
      <c r="H18" s="10">
        <f t="shared" si="1"/>
        <v>0</v>
      </c>
      <c r="I18" s="3"/>
      <c r="J18" s="3"/>
    </row>
    <row r="19" spans="1:10">
      <c r="A19" s="3"/>
      <c r="B19" s="3"/>
      <c r="C19" s="3"/>
      <c r="D19" s="3"/>
      <c r="E19" s="8"/>
      <c r="F19" s="8"/>
      <c r="G19" s="9" t="str">
        <f t="shared" si="0"/>
        <v/>
      </c>
      <c r="H19" s="10">
        <f t="shared" si="1"/>
        <v>0</v>
      </c>
      <c r="I19" s="3"/>
      <c r="J19" s="3"/>
    </row>
    <row r="20" spans="1:10">
      <c r="A20" s="3"/>
      <c r="B20" s="3"/>
      <c r="C20" s="3"/>
      <c r="D20" s="3"/>
      <c r="E20" s="8"/>
      <c r="F20" s="8"/>
      <c r="G20" s="9" t="str">
        <f t="shared" si="0"/>
        <v/>
      </c>
      <c r="H20" s="10">
        <f t="shared" si="1"/>
        <v>0</v>
      </c>
      <c r="I20" s="3"/>
      <c r="J20" s="3"/>
    </row>
    <row r="21" spans="1:10">
      <c r="A21" s="3"/>
      <c r="B21" s="3"/>
      <c r="C21" s="3"/>
      <c r="D21" s="3"/>
      <c r="E21" s="8"/>
      <c r="F21" s="8"/>
      <c r="G21" s="9" t="str">
        <f t="shared" si="0"/>
        <v/>
      </c>
      <c r="H21" s="10">
        <f t="shared" si="1"/>
        <v>0</v>
      </c>
      <c r="I21" s="3"/>
      <c r="J21" s="3"/>
    </row>
    <row r="22" spans="1:10">
      <c r="A22" s="3"/>
      <c r="B22" s="3"/>
      <c r="C22" s="3"/>
      <c r="D22" s="3"/>
      <c r="E22" s="8"/>
      <c r="F22" s="8"/>
      <c r="G22" s="9" t="str">
        <f t="shared" si="0"/>
        <v/>
      </c>
      <c r="H22" s="10">
        <f t="shared" si="1"/>
        <v>0</v>
      </c>
      <c r="I22" s="3"/>
      <c r="J22" s="3"/>
    </row>
    <row r="23" spans="1:10">
      <c r="A23" s="3"/>
      <c r="B23" s="3"/>
      <c r="C23" s="3"/>
      <c r="D23" s="3"/>
      <c r="E23" s="8"/>
      <c r="F23" s="8"/>
      <c r="G23" s="9" t="str">
        <f t="shared" si="0"/>
        <v/>
      </c>
      <c r="H23" s="10">
        <f t="shared" si="1"/>
        <v>0</v>
      </c>
      <c r="I23" s="3"/>
      <c r="J23" s="3"/>
    </row>
    <row r="24" spans="1:10">
      <c r="A24" s="3"/>
      <c r="B24" s="3"/>
      <c r="C24" s="3"/>
      <c r="D24" s="3"/>
      <c r="E24" s="8"/>
      <c r="F24" s="8"/>
      <c r="G24" s="9" t="str">
        <f t="shared" si="0"/>
        <v/>
      </c>
      <c r="H24" s="10">
        <f t="shared" si="1"/>
        <v>0</v>
      </c>
      <c r="I24" s="3"/>
      <c r="J24" s="3"/>
    </row>
    <row r="25" spans="1:10">
      <c r="A25" s="3"/>
      <c r="B25" s="3"/>
      <c r="C25" s="3"/>
      <c r="D25" s="3"/>
      <c r="E25" s="8"/>
      <c r="F25" s="8"/>
      <c r="G25" s="9" t="str">
        <f t="shared" si="0"/>
        <v/>
      </c>
      <c r="H25" s="10">
        <f t="shared" si="1"/>
        <v>0</v>
      </c>
      <c r="I25" s="3"/>
      <c r="J25" s="3"/>
    </row>
    <row r="26" spans="1:10">
      <c r="A26" s="3"/>
      <c r="B26" s="3"/>
      <c r="C26" s="3"/>
      <c r="D26" s="3"/>
      <c r="E26" s="8"/>
      <c r="F26" s="8"/>
      <c r="G26" s="9" t="str">
        <f t="shared" si="0"/>
        <v/>
      </c>
      <c r="H26" s="10">
        <f t="shared" si="1"/>
        <v>0</v>
      </c>
      <c r="I26" s="3"/>
      <c r="J26" s="3"/>
    </row>
    <row r="27" spans="1:10">
      <c r="A27" s="3"/>
      <c r="B27" s="3"/>
      <c r="C27" s="3"/>
      <c r="D27" s="3"/>
      <c r="E27" s="8"/>
      <c r="F27" s="8"/>
      <c r="G27" s="9" t="str">
        <f t="shared" si="0"/>
        <v/>
      </c>
      <c r="H27" s="10">
        <f t="shared" si="1"/>
        <v>0</v>
      </c>
      <c r="I27" s="3"/>
      <c r="J27" s="3"/>
    </row>
    <row r="28" spans="1:10">
      <c r="A28" s="3"/>
      <c r="B28" s="3"/>
      <c r="C28" s="3"/>
      <c r="D28" s="3"/>
      <c r="E28" s="8"/>
      <c r="F28" s="8"/>
      <c r="G28" s="9" t="str">
        <f t="shared" si="0"/>
        <v/>
      </c>
      <c r="H28" s="10">
        <f t="shared" si="1"/>
        <v>0</v>
      </c>
      <c r="I28" s="3"/>
      <c r="J28" s="3"/>
    </row>
    <row r="29" spans="1:10">
      <c r="A29" s="3"/>
      <c r="B29" s="3"/>
      <c r="C29" s="3"/>
      <c r="D29" s="3"/>
      <c r="E29" s="8"/>
      <c r="F29" s="8"/>
      <c r="G29" s="9" t="str">
        <f t="shared" si="0"/>
        <v/>
      </c>
      <c r="H29" s="10">
        <f t="shared" si="1"/>
        <v>0</v>
      </c>
      <c r="I29" s="3"/>
      <c r="J29" s="3"/>
    </row>
    <row r="30" spans="1:10">
      <c r="A30" s="3"/>
      <c r="B30" s="3"/>
      <c r="C30" s="3"/>
      <c r="D30" s="3"/>
      <c r="E30" s="8"/>
      <c r="F30" s="8"/>
      <c r="G30" s="9" t="str">
        <f t="shared" si="0"/>
        <v/>
      </c>
      <c r="H30" s="10">
        <f t="shared" si="1"/>
        <v>0</v>
      </c>
      <c r="I30" s="3"/>
      <c r="J30" s="3"/>
    </row>
    <row r="31" spans="1:10">
      <c r="A31" s="3"/>
      <c r="B31" s="3"/>
      <c r="C31" s="3"/>
      <c r="D31" s="3"/>
      <c r="E31" s="8"/>
      <c r="F31" s="8"/>
      <c r="G31" s="9" t="str">
        <f t="shared" si="0"/>
        <v/>
      </c>
      <c r="H31" s="10">
        <f t="shared" si="1"/>
        <v>0</v>
      </c>
      <c r="I31" s="3"/>
      <c r="J31" s="3"/>
    </row>
    <row r="32" spans="1:10">
      <c r="A32" s="3"/>
      <c r="B32" s="3"/>
      <c r="C32" s="3"/>
      <c r="D32" s="3"/>
      <c r="E32" s="8"/>
      <c r="F32" s="8"/>
      <c r="G32" s="9" t="str">
        <f t="shared" si="0"/>
        <v/>
      </c>
      <c r="H32" s="10">
        <f t="shared" si="1"/>
        <v>0</v>
      </c>
      <c r="I32" s="3"/>
      <c r="J32" s="3"/>
    </row>
    <row r="33" spans="1:10">
      <c r="A33" s="3"/>
      <c r="B33" s="3"/>
      <c r="C33" s="3"/>
      <c r="D33" s="3"/>
      <c r="E33" s="8"/>
      <c r="F33" s="8"/>
      <c r="G33" s="9" t="str">
        <f t="shared" si="0"/>
        <v/>
      </c>
      <c r="H33" s="10">
        <f t="shared" si="1"/>
        <v>0</v>
      </c>
      <c r="I33" s="3"/>
      <c r="J33" s="3"/>
    </row>
    <row r="34" spans="1:10">
      <c r="A34" s="3"/>
      <c r="B34" s="3"/>
      <c r="C34" s="3"/>
      <c r="D34" s="3"/>
      <c r="E34" s="8"/>
      <c r="F34" s="8"/>
      <c r="G34" s="9" t="str">
        <f t="shared" si="0"/>
        <v/>
      </c>
      <c r="H34" s="10">
        <f t="shared" si="1"/>
        <v>0</v>
      </c>
      <c r="I34" s="3"/>
      <c r="J34" s="3"/>
    </row>
    <row r="35" spans="1:10">
      <c r="A35" s="3"/>
      <c r="B35" s="3"/>
      <c r="C35" s="3"/>
      <c r="D35" s="3"/>
      <c r="E35" s="8"/>
      <c r="F35" s="8"/>
      <c r="G35" s="9" t="str">
        <f t="shared" si="0"/>
        <v/>
      </c>
      <c r="H35" s="10">
        <f t="shared" si="1"/>
        <v>0</v>
      </c>
      <c r="I35" s="3"/>
      <c r="J35" s="3"/>
    </row>
    <row r="36" spans="1:10">
      <c r="A36" s="3"/>
      <c r="B36" s="3"/>
      <c r="C36" s="3"/>
      <c r="D36" s="3"/>
      <c r="E36" s="8"/>
      <c r="F36" s="8"/>
      <c r="G36" s="9" t="str">
        <f t="shared" si="0"/>
        <v/>
      </c>
      <c r="H36" s="10">
        <f t="shared" si="1"/>
        <v>0</v>
      </c>
      <c r="I36" s="3"/>
      <c r="J36" s="3"/>
    </row>
    <row r="37" spans="1:10">
      <c r="A37" s="3"/>
      <c r="B37" s="3"/>
      <c r="C37" s="3"/>
      <c r="D37" s="3"/>
      <c r="E37" s="8"/>
      <c r="F37" s="8"/>
      <c r="G37" s="9" t="str">
        <f t="shared" ref="G37:G68" si="2">IF(OR(E37="",F37=""),"",E37-F37)</f>
        <v/>
      </c>
      <c r="H37" s="10">
        <f t="shared" ref="H37:H68" si="3">IFERROR(G37/E37,0)</f>
        <v>0</v>
      </c>
      <c r="I37" s="3"/>
      <c r="J37" s="3"/>
    </row>
    <row r="38" spans="1:10">
      <c r="A38" s="3"/>
      <c r="B38" s="3"/>
      <c r="C38" s="3"/>
      <c r="D38" s="3"/>
      <c r="E38" s="8"/>
      <c r="F38" s="8"/>
      <c r="G38" s="9" t="str">
        <f t="shared" si="2"/>
        <v/>
      </c>
      <c r="H38" s="10">
        <f t="shared" si="3"/>
        <v>0</v>
      </c>
      <c r="I38" s="3"/>
      <c r="J38" s="3"/>
    </row>
    <row r="39" spans="1:10">
      <c r="A39" s="3"/>
      <c r="B39" s="3"/>
      <c r="C39" s="3"/>
      <c r="D39" s="3"/>
      <c r="E39" s="8"/>
      <c r="F39" s="8"/>
      <c r="G39" s="9" t="str">
        <f t="shared" si="2"/>
        <v/>
      </c>
      <c r="H39" s="10">
        <f t="shared" si="3"/>
        <v>0</v>
      </c>
      <c r="I39" s="3"/>
      <c r="J39" s="3"/>
    </row>
    <row r="40" spans="1:10">
      <c r="A40" s="3"/>
      <c r="B40" s="3"/>
      <c r="C40" s="3"/>
      <c r="D40" s="3"/>
      <c r="E40" s="8"/>
      <c r="F40" s="8"/>
      <c r="G40" s="9" t="str">
        <f t="shared" si="2"/>
        <v/>
      </c>
      <c r="H40" s="10">
        <f t="shared" si="3"/>
        <v>0</v>
      </c>
      <c r="I40" s="3"/>
      <c r="J40" s="3"/>
    </row>
    <row r="41" spans="1:10">
      <c r="A41" s="3"/>
      <c r="B41" s="3"/>
      <c r="C41" s="3"/>
      <c r="D41" s="3"/>
      <c r="E41" s="8"/>
      <c r="F41" s="8"/>
      <c r="G41" s="9" t="str">
        <f t="shared" si="2"/>
        <v/>
      </c>
      <c r="H41" s="10">
        <f t="shared" si="3"/>
        <v>0</v>
      </c>
      <c r="I41" s="3"/>
      <c r="J41" s="3"/>
    </row>
    <row r="42" spans="1:10">
      <c r="A42" s="3"/>
      <c r="B42" s="3"/>
      <c r="C42" s="3"/>
      <c r="D42" s="3"/>
      <c r="E42" s="8"/>
      <c r="F42" s="8"/>
      <c r="G42" s="9" t="str">
        <f t="shared" si="2"/>
        <v/>
      </c>
      <c r="H42" s="10">
        <f t="shared" si="3"/>
        <v>0</v>
      </c>
      <c r="I42" s="3"/>
      <c r="J42" s="3"/>
    </row>
    <row r="43" spans="1:10">
      <c r="A43" s="3"/>
      <c r="B43" s="3"/>
      <c r="C43" s="3"/>
      <c r="D43" s="3"/>
      <c r="E43" s="8"/>
      <c r="F43" s="8"/>
      <c r="G43" s="9" t="str">
        <f t="shared" si="2"/>
        <v/>
      </c>
      <c r="H43" s="10">
        <f t="shared" si="3"/>
        <v>0</v>
      </c>
      <c r="I43" s="3"/>
      <c r="J43" s="3"/>
    </row>
    <row r="44" spans="1:10">
      <c r="A44" s="3"/>
      <c r="B44" s="3"/>
      <c r="C44" s="3"/>
      <c r="D44" s="3"/>
      <c r="E44" s="8"/>
      <c r="F44" s="8"/>
      <c r="G44" s="9" t="str">
        <f t="shared" si="2"/>
        <v/>
      </c>
      <c r="H44" s="10">
        <f t="shared" si="3"/>
        <v>0</v>
      </c>
      <c r="I44" s="3"/>
      <c r="J44" s="3"/>
    </row>
    <row r="45" spans="1:10">
      <c r="A45" s="3"/>
      <c r="B45" s="3"/>
      <c r="C45" s="3"/>
      <c r="D45" s="3"/>
      <c r="E45" s="8"/>
      <c r="F45" s="8"/>
      <c r="G45" s="9" t="str">
        <f t="shared" si="2"/>
        <v/>
      </c>
      <c r="H45" s="10">
        <f t="shared" si="3"/>
        <v>0</v>
      </c>
      <c r="I45" s="3"/>
      <c r="J45" s="3"/>
    </row>
    <row r="46" spans="1:10">
      <c r="A46" s="3"/>
      <c r="B46" s="3"/>
      <c r="C46" s="3"/>
      <c r="D46" s="3"/>
      <c r="E46" s="8"/>
      <c r="F46" s="8"/>
      <c r="G46" s="9" t="str">
        <f t="shared" si="2"/>
        <v/>
      </c>
      <c r="H46" s="10">
        <f t="shared" si="3"/>
        <v>0</v>
      </c>
      <c r="I46" s="3"/>
      <c r="J46" s="3"/>
    </row>
    <row r="47" spans="1:10">
      <c r="A47" s="3"/>
      <c r="B47" s="3"/>
      <c r="C47" s="3"/>
      <c r="D47" s="3"/>
      <c r="E47" s="8"/>
      <c r="F47" s="8"/>
      <c r="G47" s="9" t="str">
        <f t="shared" si="2"/>
        <v/>
      </c>
      <c r="H47" s="10">
        <f t="shared" si="3"/>
        <v>0</v>
      </c>
      <c r="I47" s="3"/>
      <c r="J47" s="3"/>
    </row>
    <row r="48" spans="1:10">
      <c r="A48" s="3"/>
      <c r="B48" s="3"/>
      <c r="C48" s="3"/>
      <c r="D48" s="3"/>
      <c r="E48" s="8"/>
      <c r="F48" s="8"/>
      <c r="G48" s="9" t="str">
        <f t="shared" si="2"/>
        <v/>
      </c>
      <c r="H48" s="10">
        <f t="shared" si="3"/>
        <v>0</v>
      </c>
      <c r="I48" s="3"/>
      <c r="J48" s="3"/>
    </row>
    <row r="49" spans="1:10">
      <c r="A49" s="3"/>
      <c r="B49" s="3"/>
      <c r="C49" s="3"/>
      <c r="D49" s="3"/>
      <c r="E49" s="8"/>
      <c r="F49" s="8"/>
      <c r="G49" s="9" t="str">
        <f t="shared" si="2"/>
        <v/>
      </c>
      <c r="H49" s="10">
        <f t="shared" si="3"/>
        <v>0</v>
      </c>
      <c r="I49" s="3"/>
      <c r="J49" s="3"/>
    </row>
    <row r="50" spans="1:10">
      <c r="A50" s="3"/>
      <c r="B50" s="3"/>
      <c r="C50" s="3"/>
      <c r="D50" s="3"/>
      <c r="E50" s="8"/>
      <c r="F50" s="8"/>
      <c r="G50" s="9" t="str">
        <f t="shared" si="2"/>
        <v/>
      </c>
      <c r="H50" s="10">
        <f t="shared" si="3"/>
        <v>0</v>
      </c>
      <c r="I50" s="3"/>
      <c r="J50" s="3"/>
    </row>
    <row r="51" spans="1:10">
      <c r="A51" s="3"/>
      <c r="B51" s="3"/>
      <c r="C51" s="3"/>
      <c r="D51" s="3"/>
      <c r="E51" s="8"/>
      <c r="F51" s="8"/>
      <c r="G51" s="9" t="str">
        <f t="shared" si="2"/>
        <v/>
      </c>
      <c r="H51" s="10">
        <f t="shared" si="3"/>
        <v>0</v>
      </c>
      <c r="I51" s="3"/>
      <c r="J51" s="3"/>
    </row>
    <row r="52" spans="1:10">
      <c r="A52" s="3"/>
      <c r="B52" s="3"/>
      <c r="C52" s="3"/>
      <c r="D52" s="3"/>
      <c r="E52" s="8"/>
      <c r="F52" s="8"/>
      <c r="G52" s="9" t="str">
        <f t="shared" si="2"/>
        <v/>
      </c>
      <c r="H52" s="10">
        <f t="shared" si="3"/>
        <v>0</v>
      </c>
      <c r="I52" s="3"/>
      <c r="J52" s="3"/>
    </row>
    <row r="53" spans="1:10">
      <c r="A53" s="3"/>
      <c r="B53" s="3"/>
      <c r="C53" s="3"/>
      <c r="D53" s="3"/>
      <c r="E53" s="8"/>
      <c r="F53" s="8"/>
      <c r="G53" s="9" t="str">
        <f t="shared" si="2"/>
        <v/>
      </c>
      <c r="H53" s="10">
        <f t="shared" si="3"/>
        <v>0</v>
      </c>
      <c r="I53" s="3"/>
      <c r="J53" s="3"/>
    </row>
    <row r="54" spans="1:10">
      <c r="A54" s="3"/>
      <c r="B54" s="3"/>
      <c r="C54" s="3"/>
      <c r="D54" s="3"/>
      <c r="E54" s="8"/>
      <c r="F54" s="8"/>
      <c r="G54" s="9" t="str">
        <f t="shared" si="2"/>
        <v/>
      </c>
      <c r="H54" s="10">
        <f t="shared" si="3"/>
        <v>0</v>
      </c>
      <c r="I54" s="3"/>
      <c r="J54" s="3"/>
    </row>
  </sheetData>
  <mergeCells count="2">
    <mergeCell ref="A1:J1"/>
    <mergeCell ref="A2:J2"/>
  </mergeCells>
  <conditionalFormatting sqref="I5:I54">
    <cfRule type="expression" dxfId="5" priority="1">
      <formula>I5="Available"</formula>
    </cfRule>
    <cfRule type="expression" dxfId="4" priority="2">
      <formula>I5="Unavailable"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Lists!$J$10:$J$15</xm:f>
          </x14:formula1>
          <xm:sqref>B5:B54</xm:sqref>
        </x14:dataValidation>
        <x14:dataValidation type="list" xr:uid="{00000000-0002-0000-0500-000001000000}">
          <x14:formula1>
            <xm:f>Lists!$L$10:$L$13</xm:f>
          </x14:formula1>
          <xm:sqref>D5:D54</xm:sqref>
        </x14:dataValidation>
        <x14:dataValidation type="list" xr:uid="{00000000-0002-0000-0500-000002000000}">
          <x14:formula1>
            <xm:f>Lists!$K$10:$K$11</xm:f>
          </x14:formula1>
          <xm:sqref>I5:I54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4"/>
  <sheetViews>
    <sheetView workbookViewId="0"/>
  </sheetViews>
  <sheetFormatPr defaultRowHeight="13.8"/>
  <cols>
    <col min="1" max="1" width="18" customWidth="1"/>
    <col min="2" max="2" width="25" customWidth="1"/>
    <col min="3" max="4" width="18" customWidth="1"/>
    <col min="5" max="13" width="16" customWidth="1"/>
    <col min="14" max="16" width="18" customWidth="1"/>
  </cols>
  <sheetData>
    <row r="1" spans="1:16" ht="27.15" customHeight="1">
      <c r="A1" s="22" t="s">
        <v>154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20.85" customHeight="1">
      <c r="A2" s="24" t="s">
        <v>155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4" spans="1:16" ht="24" customHeight="1">
      <c r="A4" s="1" t="s">
        <v>156</v>
      </c>
      <c r="B4" s="1" t="s">
        <v>157</v>
      </c>
      <c r="C4" s="1" t="s">
        <v>88</v>
      </c>
      <c r="D4" s="1" t="s">
        <v>106</v>
      </c>
      <c r="E4" s="1" t="s">
        <v>158</v>
      </c>
      <c r="F4" s="1" t="s">
        <v>159</v>
      </c>
      <c r="G4" s="1" t="s">
        <v>160</v>
      </c>
      <c r="H4" s="1" t="s">
        <v>161</v>
      </c>
      <c r="I4" s="1" t="s">
        <v>162</v>
      </c>
      <c r="J4" s="1" t="s">
        <v>163</v>
      </c>
      <c r="K4" s="1" t="s">
        <v>164</v>
      </c>
      <c r="L4" s="1" t="s">
        <v>107</v>
      </c>
      <c r="M4" s="1" t="s">
        <v>165</v>
      </c>
      <c r="N4" s="1" t="s">
        <v>105</v>
      </c>
      <c r="O4" s="1" t="s">
        <v>166</v>
      </c>
      <c r="P4" s="1" t="s">
        <v>167</v>
      </c>
    </row>
    <row r="5" spans="1:16">
      <c r="A5" s="3" t="s">
        <v>168</v>
      </c>
      <c r="B5" s="3" t="s">
        <v>169</v>
      </c>
      <c r="C5" s="3" t="s">
        <v>170</v>
      </c>
      <c r="D5" s="3" t="s">
        <v>171</v>
      </c>
      <c r="E5" s="15">
        <v>1000</v>
      </c>
      <c r="F5" s="15">
        <v>0</v>
      </c>
      <c r="G5" s="15">
        <v>0</v>
      </c>
      <c r="H5" s="15">
        <v>0</v>
      </c>
      <c r="I5" s="16">
        <f t="shared" ref="I5:I36" si="0">IF(A5="","",E5+F5-G5-H5)</f>
        <v>1000</v>
      </c>
      <c r="J5" s="15">
        <v>300</v>
      </c>
      <c r="K5" s="7" t="str">
        <f t="shared" ref="K5:K36" si="1">IF(I5="","",IF(I5&lt;=J5,"REORDER","OK"))</f>
        <v>OK</v>
      </c>
      <c r="L5" s="8">
        <v>1.2</v>
      </c>
      <c r="M5" s="9">
        <f t="shared" ref="M5:M36" si="2">IF(OR(I5="",L5=""),"",I5*L5)</f>
        <v>1200</v>
      </c>
      <c r="N5" s="3"/>
      <c r="O5" s="4"/>
      <c r="P5" s="4">
        <v>46216</v>
      </c>
    </row>
    <row r="6" spans="1:16">
      <c r="A6" s="3" t="s">
        <v>172</v>
      </c>
      <c r="B6" s="3" t="s">
        <v>173</v>
      </c>
      <c r="C6" s="3" t="s">
        <v>170</v>
      </c>
      <c r="D6" s="3" t="s">
        <v>174</v>
      </c>
      <c r="E6" s="15">
        <v>5000</v>
      </c>
      <c r="F6" s="15">
        <v>0</v>
      </c>
      <c r="G6" s="15">
        <v>0</v>
      </c>
      <c r="H6" s="15">
        <v>0</v>
      </c>
      <c r="I6" s="16">
        <f t="shared" si="0"/>
        <v>5000</v>
      </c>
      <c r="J6" s="15">
        <v>1000</v>
      </c>
      <c r="K6" s="7" t="str">
        <f t="shared" si="1"/>
        <v>OK</v>
      </c>
      <c r="L6" s="8">
        <v>0.1</v>
      </c>
      <c r="M6" s="9">
        <f t="shared" si="2"/>
        <v>500</v>
      </c>
      <c r="N6" s="3"/>
      <c r="O6" s="4"/>
      <c r="P6" s="4">
        <v>46216</v>
      </c>
    </row>
    <row r="7" spans="1:16">
      <c r="A7" s="3" t="s">
        <v>175</v>
      </c>
      <c r="B7" s="3" t="s">
        <v>176</v>
      </c>
      <c r="C7" s="3" t="s">
        <v>71</v>
      </c>
      <c r="D7" s="3" t="s">
        <v>177</v>
      </c>
      <c r="E7" s="15">
        <v>100</v>
      </c>
      <c r="F7" s="15">
        <v>0</v>
      </c>
      <c r="G7" s="15">
        <v>0</v>
      </c>
      <c r="H7" s="15">
        <v>0</v>
      </c>
      <c r="I7" s="16">
        <f t="shared" si="0"/>
        <v>100</v>
      </c>
      <c r="J7" s="15">
        <v>30</v>
      </c>
      <c r="K7" s="7" t="str">
        <f t="shared" si="1"/>
        <v>OK</v>
      </c>
      <c r="L7" s="8">
        <v>5</v>
      </c>
      <c r="M7" s="9">
        <f t="shared" si="2"/>
        <v>500</v>
      </c>
      <c r="N7" s="3"/>
      <c r="O7" s="4"/>
      <c r="P7" s="4">
        <v>46216</v>
      </c>
    </row>
    <row r="8" spans="1:16">
      <c r="A8" s="3" t="s">
        <v>178</v>
      </c>
      <c r="B8" s="3" t="s">
        <v>179</v>
      </c>
      <c r="C8" s="3" t="s">
        <v>71</v>
      </c>
      <c r="D8" s="3" t="s">
        <v>177</v>
      </c>
      <c r="E8" s="15">
        <v>100</v>
      </c>
      <c r="F8" s="15">
        <v>0</v>
      </c>
      <c r="G8" s="15">
        <v>0</v>
      </c>
      <c r="H8" s="15">
        <v>0</v>
      </c>
      <c r="I8" s="16">
        <f t="shared" si="0"/>
        <v>100</v>
      </c>
      <c r="J8" s="15">
        <v>30</v>
      </c>
      <c r="K8" s="7" t="str">
        <f t="shared" si="1"/>
        <v>OK</v>
      </c>
      <c r="L8" s="8">
        <v>3</v>
      </c>
      <c r="M8" s="9">
        <f t="shared" si="2"/>
        <v>300</v>
      </c>
      <c r="N8" s="3"/>
      <c r="O8" s="4"/>
      <c r="P8" s="4">
        <v>46216</v>
      </c>
    </row>
    <row r="9" spans="1:16">
      <c r="A9" s="3"/>
      <c r="B9" s="3"/>
      <c r="C9" s="3"/>
      <c r="D9" s="3"/>
      <c r="E9" s="15"/>
      <c r="F9" s="15"/>
      <c r="G9" s="15"/>
      <c r="H9" s="15"/>
      <c r="I9" s="16" t="str">
        <f t="shared" si="0"/>
        <v/>
      </c>
      <c r="J9" s="15"/>
      <c r="K9" s="7" t="str">
        <f t="shared" si="1"/>
        <v/>
      </c>
      <c r="L9" s="8"/>
      <c r="M9" s="9" t="str">
        <f t="shared" si="2"/>
        <v/>
      </c>
      <c r="N9" s="3"/>
      <c r="O9" s="4"/>
      <c r="P9" s="4"/>
    </row>
    <row r="10" spans="1:16">
      <c r="A10" s="3"/>
      <c r="B10" s="3"/>
      <c r="C10" s="3"/>
      <c r="D10" s="3"/>
      <c r="E10" s="15"/>
      <c r="F10" s="15"/>
      <c r="G10" s="15"/>
      <c r="H10" s="15"/>
      <c r="I10" s="16" t="str">
        <f t="shared" si="0"/>
        <v/>
      </c>
      <c r="J10" s="15"/>
      <c r="K10" s="7" t="str">
        <f t="shared" si="1"/>
        <v/>
      </c>
      <c r="L10" s="8"/>
      <c r="M10" s="9" t="str">
        <f t="shared" si="2"/>
        <v/>
      </c>
      <c r="N10" s="3"/>
      <c r="O10" s="4"/>
      <c r="P10" s="4"/>
    </row>
    <row r="11" spans="1:16">
      <c r="A11" s="3"/>
      <c r="B11" s="3"/>
      <c r="C11" s="3"/>
      <c r="D11" s="3"/>
      <c r="E11" s="15"/>
      <c r="F11" s="15"/>
      <c r="G11" s="15"/>
      <c r="H11" s="15"/>
      <c r="I11" s="16" t="str">
        <f t="shared" si="0"/>
        <v/>
      </c>
      <c r="J11" s="15"/>
      <c r="K11" s="7" t="str">
        <f t="shared" si="1"/>
        <v/>
      </c>
      <c r="L11" s="8"/>
      <c r="M11" s="9" t="str">
        <f t="shared" si="2"/>
        <v/>
      </c>
      <c r="N11" s="3"/>
      <c r="O11" s="4"/>
      <c r="P11" s="4"/>
    </row>
    <row r="12" spans="1:16">
      <c r="A12" s="3"/>
      <c r="B12" s="3"/>
      <c r="C12" s="3"/>
      <c r="D12" s="3"/>
      <c r="E12" s="15"/>
      <c r="F12" s="15"/>
      <c r="G12" s="15"/>
      <c r="H12" s="15"/>
      <c r="I12" s="16" t="str">
        <f t="shared" si="0"/>
        <v/>
      </c>
      <c r="J12" s="15"/>
      <c r="K12" s="7" t="str">
        <f t="shared" si="1"/>
        <v/>
      </c>
      <c r="L12" s="8"/>
      <c r="M12" s="9" t="str">
        <f t="shared" si="2"/>
        <v/>
      </c>
      <c r="N12" s="3"/>
      <c r="O12" s="4"/>
      <c r="P12" s="4"/>
    </row>
    <row r="13" spans="1:16">
      <c r="A13" s="3"/>
      <c r="B13" s="3"/>
      <c r="C13" s="3"/>
      <c r="D13" s="3"/>
      <c r="E13" s="15"/>
      <c r="F13" s="15"/>
      <c r="G13" s="15"/>
      <c r="H13" s="15"/>
      <c r="I13" s="16" t="str">
        <f t="shared" si="0"/>
        <v/>
      </c>
      <c r="J13" s="15"/>
      <c r="K13" s="7" t="str">
        <f t="shared" si="1"/>
        <v/>
      </c>
      <c r="L13" s="8"/>
      <c r="M13" s="9" t="str">
        <f t="shared" si="2"/>
        <v/>
      </c>
      <c r="N13" s="3"/>
      <c r="O13" s="4"/>
      <c r="P13" s="4"/>
    </row>
    <row r="14" spans="1:16">
      <c r="A14" s="3"/>
      <c r="B14" s="3"/>
      <c r="C14" s="3"/>
      <c r="D14" s="3"/>
      <c r="E14" s="15"/>
      <c r="F14" s="15"/>
      <c r="G14" s="15"/>
      <c r="H14" s="15"/>
      <c r="I14" s="16" t="str">
        <f t="shared" si="0"/>
        <v/>
      </c>
      <c r="J14" s="15"/>
      <c r="K14" s="7" t="str">
        <f t="shared" si="1"/>
        <v/>
      </c>
      <c r="L14" s="8"/>
      <c r="M14" s="9" t="str">
        <f t="shared" si="2"/>
        <v/>
      </c>
      <c r="N14" s="3"/>
      <c r="O14" s="4"/>
      <c r="P14" s="4"/>
    </row>
    <row r="15" spans="1:16">
      <c r="A15" s="3"/>
      <c r="B15" s="3"/>
      <c r="C15" s="3"/>
      <c r="D15" s="3"/>
      <c r="E15" s="15"/>
      <c r="F15" s="15"/>
      <c r="G15" s="15"/>
      <c r="H15" s="15"/>
      <c r="I15" s="16" t="str">
        <f t="shared" si="0"/>
        <v/>
      </c>
      <c r="J15" s="15"/>
      <c r="K15" s="7" t="str">
        <f t="shared" si="1"/>
        <v/>
      </c>
      <c r="L15" s="8"/>
      <c r="M15" s="9" t="str">
        <f t="shared" si="2"/>
        <v/>
      </c>
      <c r="N15" s="3"/>
      <c r="O15" s="4"/>
      <c r="P15" s="4"/>
    </row>
    <row r="16" spans="1:16">
      <c r="A16" s="3"/>
      <c r="B16" s="3"/>
      <c r="C16" s="3"/>
      <c r="D16" s="3"/>
      <c r="E16" s="15"/>
      <c r="F16" s="15"/>
      <c r="G16" s="15"/>
      <c r="H16" s="15"/>
      <c r="I16" s="16" t="str">
        <f t="shared" si="0"/>
        <v/>
      </c>
      <c r="J16" s="15"/>
      <c r="K16" s="7" t="str">
        <f t="shared" si="1"/>
        <v/>
      </c>
      <c r="L16" s="8"/>
      <c r="M16" s="9" t="str">
        <f t="shared" si="2"/>
        <v/>
      </c>
      <c r="N16" s="3"/>
      <c r="O16" s="4"/>
      <c r="P16" s="4"/>
    </row>
    <row r="17" spans="1:16">
      <c r="A17" s="3"/>
      <c r="B17" s="3"/>
      <c r="C17" s="3"/>
      <c r="D17" s="3"/>
      <c r="E17" s="15"/>
      <c r="F17" s="15"/>
      <c r="G17" s="15"/>
      <c r="H17" s="15"/>
      <c r="I17" s="16" t="str">
        <f t="shared" si="0"/>
        <v/>
      </c>
      <c r="J17" s="15"/>
      <c r="K17" s="7" t="str">
        <f t="shared" si="1"/>
        <v/>
      </c>
      <c r="L17" s="8"/>
      <c r="M17" s="9" t="str">
        <f t="shared" si="2"/>
        <v/>
      </c>
      <c r="N17" s="3"/>
      <c r="O17" s="4"/>
      <c r="P17" s="4"/>
    </row>
    <row r="18" spans="1:16">
      <c r="A18" s="3"/>
      <c r="B18" s="3"/>
      <c r="C18" s="3"/>
      <c r="D18" s="3"/>
      <c r="E18" s="15"/>
      <c r="F18" s="15"/>
      <c r="G18" s="15"/>
      <c r="H18" s="15"/>
      <c r="I18" s="16" t="str">
        <f t="shared" si="0"/>
        <v/>
      </c>
      <c r="J18" s="15"/>
      <c r="K18" s="7" t="str">
        <f t="shared" si="1"/>
        <v/>
      </c>
      <c r="L18" s="8"/>
      <c r="M18" s="9" t="str">
        <f t="shared" si="2"/>
        <v/>
      </c>
      <c r="N18" s="3"/>
      <c r="O18" s="4"/>
      <c r="P18" s="4"/>
    </row>
    <row r="19" spans="1:16">
      <c r="A19" s="3"/>
      <c r="B19" s="3"/>
      <c r="C19" s="3"/>
      <c r="D19" s="3"/>
      <c r="E19" s="15"/>
      <c r="F19" s="15"/>
      <c r="G19" s="15"/>
      <c r="H19" s="15"/>
      <c r="I19" s="16" t="str">
        <f t="shared" si="0"/>
        <v/>
      </c>
      <c r="J19" s="15"/>
      <c r="K19" s="7" t="str">
        <f t="shared" si="1"/>
        <v/>
      </c>
      <c r="L19" s="8"/>
      <c r="M19" s="9" t="str">
        <f t="shared" si="2"/>
        <v/>
      </c>
      <c r="N19" s="3"/>
      <c r="O19" s="4"/>
      <c r="P19" s="4"/>
    </row>
    <row r="20" spans="1:16">
      <c r="A20" s="3"/>
      <c r="B20" s="3"/>
      <c r="C20" s="3"/>
      <c r="D20" s="3"/>
      <c r="E20" s="15"/>
      <c r="F20" s="15"/>
      <c r="G20" s="15"/>
      <c r="H20" s="15"/>
      <c r="I20" s="16" t="str">
        <f t="shared" si="0"/>
        <v/>
      </c>
      <c r="J20" s="15"/>
      <c r="K20" s="7" t="str">
        <f t="shared" si="1"/>
        <v/>
      </c>
      <c r="L20" s="8"/>
      <c r="M20" s="9" t="str">
        <f t="shared" si="2"/>
        <v/>
      </c>
      <c r="N20" s="3"/>
      <c r="O20" s="4"/>
      <c r="P20" s="4"/>
    </row>
    <row r="21" spans="1:16">
      <c r="A21" s="3"/>
      <c r="B21" s="3"/>
      <c r="C21" s="3"/>
      <c r="D21" s="3"/>
      <c r="E21" s="15"/>
      <c r="F21" s="15"/>
      <c r="G21" s="15"/>
      <c r="H21" s="15"/>
      <c r="I21" s="16" t="str">
        <f t="shared" si="0"/>
        <v/>
      </c>
      <c r="J21" s="15"/>
      <c r="K21" s="7" t="str">
        <f t="shared" si="1"/>
        <v/>
      </c>
      <c r="L21" s="8"/>
      <c r="M21" s="9" t="str">
        <f t="shared" si="2"/>
        <v/>
      </c>
      <c r="N21" s="3"/>
      <c r="O21" s="4"/>
      <c r="P21" s="4"/>
    </row>
    <row r="22" spans="1:16">
      <c r="A22" s="3"/>
      <c r="B22" s="3"/>
      <c r="C22" s="3"/>
      <c r="D22" s="3"/>
      <c r="E22" s="15"/>
      <c r="F22" s="15"/>
      <c r="G22" s="15"/>
      <c r="H22" s="15"/>
      <c r="I22" s="16" t="str">
        <f t="shared" si="0"/>
        <v/>
      </c>
      <c r="J22" s="15"/>
      <c r="K22" s="7" t="str">
        <f t="shared" si="1"/>
        <v/>
      </c>
      <c r="L22" s="8"/>
      <c r="M22" s="9" t="str">
        <f t="shared" si="2"/>
        <v/>
      </c>
      <c r="N22" s="3"/>
      <c r="O22" s="4"/>
      <c r="P22" s="4"/>
    </row>
    <row r="23" spans="1:16">
      <c r="A23" s="3"/>
      <c r="B23" s="3"/>
      <c r="C23" s="3"/>
      <c r="D23" s="3"/>
      <c r="E23" s="15"/>
      <c r="F23" s="15"/>
      <c r="G23" s="15"/>
      <c r="H23" s="15"/>
      <c r="I23" s="16" t="str">
        <f t="shared" si="0"/>
        <v/>
      </c>
      <c r="J23" s="15"/>
      <c r="K23" s="7" t="str">
        <f t="shared" si="1"/>
        <v/>
      </c>
      <c r="L23" s="8"/>
      <c r="M23" s="9" t="str">
        <f t="shared" si="2"/>
        <v/>
      </c>
      <c r="N23" s="3"/>
      <c r="O23" s="4"/>
      <c r="P23" s="4"/>
    </row>
    <row r="24" spans="1:16">
      <c r="A24" s="3"/>
      <c r="B24" s="3"/>
      <c r="C24" s="3"/>
      <c r="D24" s="3"/>
      <c r="E24" s="15"/>
      <c r="F24" s="15"/>
      <c r="G24" s="15"/>
      <c r="H24" s="15"/>
      <c r="I24" s="16" t="str">
        <f t="shared" si="0"/>
        <v/>
      </c>
      <c r="J24" s="15"/>
      <c r="K24" s="7" t="str">
        <f t="shared" si="1"/>
        <v/>
      </c>
      <c r="L24" s="8"/>
      <c r="M24" s="9" t="str">
        <f t="shared" si="2"/>
        <v/>
      </c>
      <c r="N24" s="3"/>
      <c r="O24" s="4"/>
      <c r="P24" s="4"/>
    </row>
    <row r="25" spans="1:16">
      <c r="A25" s="3"/>
      <c r="B25" s="3"/>
      <c r="C25" s="3"/>
      <c r="D25" s="3"/>
      <c r="E25" s="15"/>
      <c r="F25" s="15"/>
      <c r="G25" s="15"/>
      <c r="H25" s="15"/>
      <c r="I25" s="16" t="str">
        <f t="shared" si="0"/>
        <v/>
      </c>
      <c r="J25" s="15"/>
      <c r="K25" s="7" t="str">
        <f t="shared" si="1"/>
        <v/>
      </c>
      <c r="L25" s="8"/>
      <c r="M25" s="9" t="str">
        <f t="shared" si="2"/>
        <v/>
      </c>
      <c r="N25" s="3"/>
      <c r="O25" s="4"/>
      <c r="P25" s="4"/>
    </row>
    <row r="26" spans="1:16">
      <c r="A26" s="3"/>
      <c r="B26" s="3"/>
      <c r="C26" s="3"/>
      <c r="D26" s="3"/>
      <c r="E26" s="15"/>
      <c r="F26" s="15"/>
      <c r="G26" s="15"/>
      <c r="H26" s="15"/>
      <c r="I26" s="16" t="str">
        <f t="shared" si="0"/>
        <v/>
      </c>
      <c r="J26" s="15"/>
      <c r="K26" s="7" t="str">
        <f t="shared" si="1"/>
        <v/>
      </c>
      <c r="L26" s="8"/>
      <c r="M26" s="9" t="str">
        <f t="shared" si="2"/>
        <v/>
      </c>
      <c r="N26" s="3"/>
      <c r="O26" s="4"/>
      <c r="P26" s="4"/>
    </row>
    <row r="27" spans="1:16">
      <c r="A27" s="3"/>
      <c r="B27" s="3"/>
      <c r="C27" s="3"/>
      <c r="D27" s="3"/>
      <c r="E27" s="15"/>
      <c r="F27" s="15"/>
      <c r="G27" s="15"/>
      <c r="H27" s="15"/>
      <c r="I27" s="16" t="str">
        <f t="shared" si="0"/>
        <v/>
      </c>
      <c r="J27" s="15"/>
      <c r="K27" s="7" t="str">
        <f t="shared" si="1"/>
        <v/>
      </c>
      <c r="L27" s="8"/>
      <c r="M27" s="9" t="str">
        <f t="shared" si="2"/>
        <v/>
      </c>
      <c r="N27" s="3"/>
      <c r="O27" s="4"/>
      <c r="P27" s="4"/>
    </row>
    <row r="28" spans="1:16">
      <c r="A28" s="3"/>
      <c r="B28" s="3"/>
      <c r="C28" s="3"/>
      <c r="D28" s="3"/>
      <c r="E28" s="15"/>
      <c r="F28" s="15"/>
      <c r="G28" s="15"/>
      <c r="H28" s="15"/>
      <c r="I28" s="16" t="str">
        <f t="shared" si="0"/>
        <v/>
      </c>
      <c r="J28" s="15"/>
      <c r="K28" s="7" t="str">
        <f t="shared" si="1"/>
        <v/>
      </c>
      <c r="L28" s="8"/>
      <c r="M28" s="9" t="str">
        <f t="shared" si="2"/>
        <v/>
      </c>
      <c r="N28" s="3"/>
      <c r="O28" s="4"/>
      <c r="P28" s="4"/>
    </row>
    <row r="29" spans="1:16">
      <c r="A29" s="3"/>
      <c r="B29" s="3"/>
      <c r="C29" s="3"/>
      <c r="D29" s="3"/>
      <c r="E29" s="15"/>
      <c r="F29" s="15"/>
      <c r="G29" s="15"/>
      <c r="H29" s="15"/>
      <c r="I29" s="16" t="str">
        <f t="shared" si="0"/>
        <v/>
      </c>
      <c r="J29" s="15"/>
      <c r="K29" s="7" t="str">
        <f t="shared" si="1"/>
        <v/>
      </c>
      <c r="L29" s="8"/>
      <c r="M29" s="9" t="str">
        <f t="shared" si="2"/>
        <v/>
      </c>
      <c r="N29" s="3"/>
      <c r="O29" s="4"/>
      <c r="P29" s="4"/>
    </row>
    <row r="30" spans="1:16">
      <c r="A30" s="3"/>
      <c r="B30" s="3"/>
      <c r="C30" s="3"/>
      <c r="D30" s="3"/>
      <c r="E30" s="15"/>
      <c r="F30" s="15"/>
      <c r="G30" s="15"/>
      <c r="H30" s="15"/>
      <c r="I30" s="16" t="str">
        <f t="shared" si="0"/>
        <v/>
      </c>
      <c r="J30" s="15"/>
      <c r="K30" s="7" t="str">
        <f t="shared" si="1"/>
        <v/>
      </c>
      <c r="L30" s="8"/>
      <c r="M30" s="9" t="str">
        <f t="shared" si="2"/>
        <v/>
      </c>
      <c r="N30" s="3"/>
      <c r="O30" s="4"/>
      <c r="P30" s="4"/>
    </row>
    <row r="31" spans="1:16">
      <c r="A31" s="3"/>
      <c r="B31" s="3"/>
      <c r="C31" s="3"/>
      <c r="D31" s="3"/>
      <c r="E31" s="15"/>
      <c r="F31" s="15"/>
      <c r="G31" s="15"/>
      <c r="H31" s="15"/>
      <c r="I31" s="16" t="str">
        <f t="shared" si="0"/>
        <v/>
      </c>
      <c r="J31" s="15"/>
      <c r="K31" s="7" t="str">
        <f t="shared" si="1"/>
        <v/>
      </c>
      <c r="L31" s="8"/>
      <c r="M31" s="9" t="str">
        <f t="shared" si="2"/>
        <v/>
      </c>
      <c r="N31" s="3"/>
      <c r="O31" s="4"/>
      <c r="P31" s="4"/>
    </row>
    <row r="32" spans="1:16">
      <c r="A32" s="3"/>
      <c r="B32" s="3"/>
      <c r="C32" s="3"/>
      <c r="D32" s="3"/>
      <c r="E32" s="15"/>
      <c r="F32" s="15"/>
      <c r="G32" s="15"/>
      <c r="H32" s="15"/>
      <c r="I32" s="16" t="str">
        <f t="shared" si="0"/>
        <v/>
      </c>
      <c r="J32" s="15"/>
      <c r="K32" s="7" t="str">
        <f t="shared" si="1"/>
        <v/>
      </c>
      <c r="L32" s="8"/>
      <c r="M32" s="9" t="str">
        <f t="shared" si="2"/>
        <v/>
      </c>
      <c r="N32" s="3"/>
      <c r="O32" s="4"/>
      <c r="P32" s="4"/>
    </row>
    <row r="33" spans="1:16">
      <c r="A33" s="3"/>
      <c r="B33" s="3"/>
      <c r="C33" s="3"/>
      <c r="D33" s="3"/>
      <c r="E33" s="15"/>
      <c r="F33" s="15"/>
      <c r="G33" s="15"/>
      <c r="H33" s="15"/>
      <c r="I33" s="16" t="str">
        <f t="shared" si="0"/>
        <v/>
      </c>
      <c r="J33" s="15"/>
      <c r="K33" s="7" t="str">
        <f t="shared" si="1"/>
        <v/>
      </c>
      <c r="L33" s="8"/>
      <c r="M33" s="9" t="str">
        <f t="shared" si="2"/>
        <v/>
      </c>
      <c r="N33" s="3"/>
      <c r="O33" s="4"/>
      <c r="P33" s="4"/>
    </row>
    <row r="34" spans="1:16">
      <c r="A34" s="3"/>
      <c r="B34" s="3"/>
      <c r="C34" s="3"/>
      <c r="D34" s="3"/>
      <c r="E34" s="15"/>
      <c r="F34" s="15"/>
      <c r="G34" s="15"/>
      <c r="H34" s="15"/>
      <c r="I34" s="16" t="str">
        <f t="shared" si="0"/>
        <v/>
      </c>
      <c r="J34" s="15"/>
      <c r="K34" s="7" t="str">
        <f t="shared" si="1"/>
        <v/>
      </c>
      <c r="L34" s="8"/>
      <c r="M34" s="9" t="str">
        <f t="shared" si="2"/>
        <v/>
      </c>
      <c r="N34" s="3"/>
      <c r="O34" s="4"/>
      <c r="P34" s="4"/>
    </row>
    <row r="35" spans="1:16">
      <c r="A35" s="3"/>
      <c r="B35" s="3"/>
      <c r="C35" s="3"/>
      <c r="D35" s="3"/>
      <c r="E35" s="15"/>
      <c r="F35" s="15"/>
      <c r="G35" s="15"/>
      <c r="H35" s="15"/>
      <c r="I35" s="16" t="str">
        <f t="shared" si="0"/>
        <v/>
      </c>
      <c r="J35" s="15"/>
      <c r="K35" s="7" t="str">
        <f t="shared" si="1"/>
        <v/>
      </c>
      <c r="L35" s="8"/>
      <c r="M35" s="9" t="str">
        <f t="shared" si="2"/>
        <v/>
      </c>
      <c r="N35" s="3"/>
      <c r="O35" s="4"/>
      <c r="P35" s="4"/>
    </row>
    <row r="36" spans="1:16">
      <c r="A36" s="3"/>
      <c r="B36" s="3"/>
      <c r="C36" s="3"/>
      <c r="D36" s="3"/>
      <c r="E36" s="15"/>
      <c r="F36" s="15"/>
      <c r="G36" s="15"/>
      <c r="H36" s="15"/>
      <c r="I36" s="16" t="str">
        <f t="shared" si="0"/>
        <v/>
      </c>
      <c r="J36" s="15"/>
      <c r="K36" s="7" t="str">
        <f t="shared" si="1"/>
        <v/>
      </c>
      <c r="L36" s="8"/>
      <c r="M36" s="9" t="str">
        <f t="shared" si="2"/>
        <v/>
      </c>
      <c r="N36" s="3"/>
      <c r="O36" s="4"/>
      <c r="P36" s="4"/>
    </row>
    <row r="37" spans="1:16">
      <c r="A37" s="3"/>
      <c r="B37" s="3"/>
      <c r="C37" s="3"/>
      <c r="D37" s="3"/>
      <c r="E37" s="15"/>
      <c r="F37" s="15"/>
      <c r="G37" s="15"/>
      <c r="H37" s="15"/>
      <c r="I37" s="16" t="str">
        <f t="shared" ref="I37:I68" si="3">IF(A37="","",E37+F37-G37-H37)</f>
        <v/>
      </c>
      <c r="J37" s="15"/>
      <c r="K37" s="7" t="str">
        <f t="shared" ref="K37:K68" si="4">IF(I37="","",IF(I37&lt;=J37,"REORDER","OK"))</f>
        <v/>
      </c>
      <c r="L37" s="8"/>
      <c r="M37" s="9" t="str">
        <f t="shared" ref="M37:M68" si="5">IF(OR(I37="",L37=""),"",I37*L37)</f>
        <v/>
      </c>
      <c r="N37" s="3"/>
      <c r="O37" s="4"/>
      <c r="P37" s="4"/>
    </row>
    <row r="38" spans="1:16">
      <c r="A38" s="3"/>
      <c r="B38" s="3"/>
      <c r="C38" s="3"/>
      <c r="D38" s="3"/>
      <c r="E38" s="15"/>
      <c r="F38" s="15"/>
      <c r="G38" s="15"/>
      <c r="H38" s="15"/>
      <c r="I38" s="16" t="str">
        <f t="shared" si="3"/>
        <v/>
      </c>
      <c r="J38" s="15"/>
      <c r="K38" s="7" t="str">
        <f t="shared" si="4"/>
        <v/>
      </c>
      <c r="L38" s="8"/>
      <c r="M38" s="9" t="str">
        <f t="shared" si="5"/>
        <v/>
      </c>
      <c r="N38" s="3"/>
      <c r="O38" s="4"/>
      <c r="P38" s="4"/>
    </row>
    <row r="39" spans="1:16">
      <c r="A39" s="3"/>
      <c r="B39" s="3"/>
      <c r="C39" s="3"/>
      <c r="D39" s="3"/>
      <c r="E39" s="15"/>
      <c r="F39" s="15"/>
      <c r="G39" s="15"/>
      <c r="H39" s="15"/>
      <c r="I39" s="16" t="str">
        <f t="shared" si="3"/>
        <v/>
      </c>
      <c r="J39" s="15"/>
      <c r="K39" s="7" t="str">
        <f t="shared" si="4"/>
        <v/>
      </c>
      <c r="L39" s="8"/>
      <c r="M39" s="9" t="str">
        <f t="shared" si="5"/>
        <v/>
      </c>
      <c r="N39" s="3"/>
      <c r="O39" s="4"/>
      <c r="P39" s="4"/>
    </row>
    <row r="40" spans="1:16">
      <c r="A40" s="3"/>
      <c r="B40" s="3"/>
      <c r="C40" s="3"/>
      <c r="D40" s="3"/>
      <c r="E40" s="15"/>
      <c r="F40" s="15"/>
      <c r="G40" s="15"/>
      <c r="H40" s="15"/>
      <c r="I40" s="16" t="str">
        <f t="shared" si="3"/>
        <v/>
      </c>
      <c r="J40" s="15"/>
      <c r="K40" s="7" t="str">
        <f t="shared" si="4"/>
        <v/>
      </c>
      <c r="L40" s="8"/>
      <c r="M40" s="9" t="str">
        <f t="shared" si="5"/>
        <v/>
      </c>
      <c r="N40" s="3"/>
      <c r="O40" s="4"/>
      <c r="P40" s="4"/>
    </row>
    <row r="41" spans="1:16">
      <c r="A41" s="3"/>
      <c r="B41" s="3"/>
      <c r="C41" s="3"/>
      <c r="D41" s="3"/>
      <c r="E41" s="15"/>
      <c r="F41" s="15"/>
      <c r="G41" s="15"/>
      <c r="H41" s="15"/>
      <c r="I41" s="16" t="str">
        <f t="shared" si="3"/>
        <v/>
      </c>
      <c r="J41" s="15"/>
      <c r="K41" s="7" t="str">
        <f t="shared" si="4"/>
        <v/>
      </c>
      <c r="L41" s="8"/>
      <c r="M41" s="9" t="str">
        <f t="shared" si="5"/>
        <v/>
      </c>
      <c r="N41" s="3"/>
      <c r="O41" s="4"/>
      <c r="P41" s="4"/>
    </row>
    <row r="42" spans="1:16">
      <c r="A42" s="3"/>
      <c r="B42" s="3"/>
      <c r="C42" s="3"/>
      <c r="D42" s="3"/>
      <c r="E42" s="15"/>
      <c r="F42" s="15"/>
      <c r="G42" s="15"/>
      <c r="H42" s="15"/>
      <c r="I42" s="16" t="str">
        <f t="shared" si="3"/>
        <v/>
      </c>
      <c r="J42" s="15"/>
      <c r="K42" s="7" t="str">
        <f t="shared" si="4"/>
        <v/>
      </c>
      <c r="L42" s="8"/>
      <c r="M42" s="9" t="str">
        <f t="shared" si="5"/>
        <v/>
      </c>
      <c r="N42" s="3"/>
      <c r="O42" s="4"/>
      <c r="P42" s="4"/>
    </row>
    <row r="43" spans="1:16">
      <c r="A43" s="3"/>
      <c r="B43" s="3"/>
      <c r="C43" s="3"/>
      <c r="D43" s="3"/>
      <c r="E43" s="15"/>
      <c r="F43" s="15"/>
      <c r="G43" s="15"/>
      <c r="H43" s="15"/>
      <c r="I43" s="16" t="str">
        <f t="shared" si="3"/>
        <v/>
      </c>
      <c r="J43" s="15"/>
      <c r="K43" s="7" t="str">
        <f t="shared" si="4"/>
        <v/>
      </c>
      <c r="L43" s="8"/>
      <c r="M43" s="9" t="str">
        <f t="shared" si="5"/>
        <v/>
      </c>
      <c r="N43" s="3"/>
      <c r="O43" s="4"/>
      <c r="P43" s="4"/>
    </row>
    <row r="44" spans="1:16">
      <c r="A44" s="3"/>
      <c r="B44" s="3"/>
      <c r="C44" s="3"/>
      <c r="D44" s="3"/>
      <c r="E44" s="15"/>
      <c r="F44" s="15"/>
      <c r="G44" s="15"/>
      <c r="H44" s="15"/>
      <c r="I44" s="16" t="str">
        <f t="shared" si="3"/>
        <v/>
      </c>
      <c r="J44" s="15"/>
      <c r="K44" s="7" t="str">
        <f t="shared" si="4"/>
        <v/>
      </c>
      <c r="L44" s="8"/>
      <c r="M44" s="9" t="str">
        <f t="shared" si="5"/>
        <v/>
      </c>
      <c r="N44" s="3"/>
      <c r="O44" s="4"/>
      <c r="P44" s="4"/>
    </row>
    <row r="45" spans="1:16">
      <c r="A45" s="3"/>
      <c r="B45" s="3"/>
      <c r="C45" s="3"/>
      <c r="D45" s="3"/>
      <c r="E45" s="15"/>
      <c r="F45" s="15"/>
      <c r="G45" s="15"/>
      <c r="H45" s="15"/>
      <c r="I45" s="16" t="str">
        <f t="shared" si="3"/>
        <v/>
      </c>
      <c r="J45" s="15"/>
      <c r="K45" s="7" t="str">
        <f t="shared" si="4"/>
        <v/>
      </c>
      <c r="L45" s="8"/>
      <c r="M45" s="9" t="str">
        <f t="shared" si="5"/>
        <v/>
      </c>
      <c r="N45" s="3"/>
      <c r="O45" s="4"/>
      <c r="P45" s="4"/>
    </row>
    <row r="46" spans="1:16">
      <c r="A46" s="3"/>
      <c r="B46" s="3"/>
      <c r="C46" s="3"/>
      <c r="D46" s="3"/>
      <c r="E46" s="15"/>
      <c r="F46" s="15"/>
      <c r="G46" s="15"/>
      <c r="H46" s="15"/>
      <c r="I46" s="16" t="str">
        <f t="shared" si="3"/>
        <v/>
      </c>
      <c r="J46" s="15"/>
      <c r="K46" s="7" t="str">
        <f t="shared" si="4"/>
        <v/>
      </c>
      <c r="L46" s="8"/>
      <c r="M46" s="9" t="str">
        <f t="shared" si="5"/>
        <v/>
      </c>
      <c r="N46" s="3"/>
      <c r="O46" s="4"/>
      <c r="P46" s="4"/>
    </row>
    <row r="47" spans="1:16">
      <c r="A47" s="3"/>
      <c r="B47" s="3"/>
      <c r="C47" s="3"/>
      <c r="D47" s="3"/>
      <c r="E47" s="15"/>
      <c r="F47" s="15"/>
      <c r="G47" s="15"/>
      <c r="H47" s="15"/>
      <c r="I47" s="16" t="str">
        <f t="shared" si="3"/>
        <v/>
      </c>
      <c r="J47" s="15"/>
      <c r="K47" s="7" t="str">
        <f t="shared" si="4"/>
        <v/>
      </c>
      <c r="L47" s="8"/>
      <c r="M47" s="9" t="str">
        <f t="shared" si="5"/>
        <v/>
      </c>
      <c r="N47" s="3"/>
      <c r="O47" s="4"/>
      <c r="P47" s="4"/>
    </row>
    <row r="48" spans="1:16">
      <c r="A48" s="3"/>
      <c r="B48" s="3"/>
      <c r="C48" s="3"/>
      <c r="D48" s="3"/>
      <c r="E48" s="15"/>
      <c r="F48" s="15"/>
      <c r="G48" s="15"/>
      <c r="H48" s="15"/>
      <c r="I48" s="16" t="str">
        <f t="shared" si="3"/>
        <v/>
      </c>
      <c r="J48" s="15"/>
      <c r="K48" s="7" t="str">
        <f t="shared" si="4"/>
        <v/>
      </c>
      <c r="L48" s="8"/>
      <c r="M48" s="9" t="str">
        <f t="shared" si="5"/>
        <v/>
      </c>
      <c r="N48" s="3"/>
      <c r="O48" s="4"/>
      <c r="P48" s="4"/>
    </row>
    <row r="49" spans="1:16">
      <c r="A49" s="3"/>
      <c r="B49" s="3"/>
      <c r="C49" s="3"/>
      <c r="D49" s="3"/>
      <c r="E49" s="15"/>
      <c r="F49" s="15"/>
      <c r="G49" s="15"/>
      <c r="H49" s="15"/>
      <c r="I49" s="16" t="str">
        <f t="shared" si="3"/>
        <v/>
      </c>
      <c r="J49" s="15"/>
      <c r="K49" s="7" t="str">
        <f t="shared" si="4"/>
        <v/>
      </c>
      <c r="L49" s="8"/>
      <c r="M49" s="9" t="str">
        <f t="shared" si="5"/>
        <v/>
      </c>
      <c r="N49" s="3"/>
      <c r="O49" s="4"/>
      <c r="P49" s="4"/>
    </row>
    <row r="50" spans="1:16">
      <c r="A50" s="3"/>
      <c r="B50" s="3"/>
      <c r="C50" s="3"/>
      <c r="D50" s="3"/>
      <c r="E50" s="15"/>
      <c r="F50" s="15"/>
      <c r="G50" s="15"/>
      <c r="H50" s="15"/>
      <c r="I50" s="16" t="str">
        <f t="shared" si="3"/>
        <v/>
      </c>
      <c r="J50" s="15"/>
      <c r="K50" s="7" t="str">
        <f t="shared" si="4"/>
        <v/>
      </c>
      <c r="L50" s="8"/>
      <c r="M50" s="9" t="str">
        <f t="shared" si="5"/>
        <v/>
      </c>
      <c r="N50" s="3"/>
      <c r="O50" s="4"/>
      <c r="P50" s="4"/>
    </row>
    <row r="51" spans="1:16">
      <c r="A51" s="3"/>
      <c r="B51" s="3"/>
      <c r="C51" s="3"/>
      <c r="D51" s="3"/>
      <c r="E51" s="15"/>
      <c r="F51" s="15"/>
      <c r="G51" s="15"/>
      <c r="H51" s="15"/>
      <c r="I51" s="16" t="str">
        <f t="shared" si="3"/>
        <v/>
      </c>
      <c r="J51" s="15"/>
      <c r="K51" s="7" t="str">
        <f t="shared" si="4"/>
        <v/>
      </c>
      <c r="L51" s="8"/>
      <c r="M51" s="9" t="str">
        <f t="shared" si="5"/>
        <v/>
      </c>
      <c r="N51" s="3"/>
      <c r="O51" s="4"/>
      <c r="P51" s="4"/>
    </row>
    <row r="52" spans="1:16">
      <c r="A52" s="3"/>
      <c r="B52" s="3"/>
      <c r="C52" s="3"/>
      <c r="D52" s="3"/>
      <c r="E52" s="15"/>
      <c r="F52" s="15"/>
      <c r="G52" s="15"/>
      <c r="H52" s="15"/>
      <c r="I52" s="16" t="str">
        <f t="shared" si="3"/>
        <v/>
      </c>
      <c r="J52" s="15"/>
      <c r="K52" s="7" t="str">
        <f t="shared" si="4"/>
        <v/>
      </c>
      <c r="L52" s="8"/>
      <c r="M52" s="9" t="str">
        <f t="shared" si="5"/>
        <v/>
      </c>
      <c r="N52" s="3"/>
      <c r="O52" s="4"/>
      <c r="P52" s="4"/>
    </row>
    <row r="53" spans="1:16">
      <c r="A53" s="3"/>
      <c r="B53" s="3"/>
      <c r="C53" s="3"/>
      <c r="D53" s="3"/>
      <c r="E53" s="15"/>
      <c r="F53" s="15"/>
      <c r="G53" s="15"/>
      <c r="H53" s="15"/>
      <c r="I53" s="16" t="str">
        <f t="shared" si="3"/>
        <v/>
      </c>
      <c r="J53" s="15"/>
      <c r="K53" s="7" t="str">
        <f t="shared" si="4"/>
        <v/>
      </c>
      <c r="L53" s="8"/>
      <c r="M53" s="9" t="str">
        <f t="shared" si="5"/>
        <v/>
      </c>
      <c r="N53" s="3"/>
      <c r="O53" s="4"/>
      <c r="P53" s="4"/>
    </row>
    <row r="54" spans="1:16">
      <c r="A54" s="3"/>
      <c r="B54" s="3"/>
      <c r="C54" s="3"/>
      <c r="D54" s="3"/>
      <c r="E54" s="15"/>
      <c r="F54" s="15"/>
      <c r="G54" s="15"/>
      <c r="H54" s="15"/>
      <c r="I54" s="16" t="str">
        <f t="shared" si="3"/>
        <v/>
      </c>
      <c r="J54" s="15"/>
      <c r="K54" s="7" t="str">
        <f t="shared" si="4"/>
        <v/>
      </c>
      <c r="L54" s="8"/>
      <c r="M54" s="9" t="str">
        <f t="shared" si="5"/>
        <v/>
      </c>
      <c r="N54" s="3"/>
      <c r="O54" s="4"/>
      <c r="P54" s="4"/>
    </row>
    <row r="55" spans="1:16">
      <c r="A55" s="3"/>
      <c r="B55" s="3"/>
      <c r="C55" s="3"/>
      <c r="D55" s="3"/>
      <c r="E55" s="15"/>
      <c r="F55" s="15"/>
      <c r="G55" s="15"/>
      <c r="H55" s="15"/>
      <c r="I55" s="16" t="str">
        <f t="shared" si="3"/>
        <v/>
      </c>
      <c r="J55" s="15"/>
      <c r="K55" s="7" t="str">
        <f t="shared" si="4"/>
        <v/>
      </c>
      <c r="L55" s="8"/>
      <c r="M55" s="9" t="str">
        <f t="shared" si="5"/>
        <v/>
      </c>
      <c r="N55" s="3"/>
      <c r="O55" s="4"/>
      <c r="P55" s="4"/>
    </row>
    <row r="56" spans="1:16">
      <c r="A56" s="3"/>
      <c r="B56" s="3"/>
      <c r="C56" s="3"/>
      <c r="D56" s="3"/>
      <c r="E56" s="15"/>
      <c r="F56" s="15"/>
      <c r="G56" s="15"/>
      <c r="H56" s="15"/>
      <c r="I56" s="16" t="str">
        <f t="shared" si="3"/>
        <v/>
      </c>
      <c r="J56" s="15"/>
      <c r="K56" s="7" t="str">
        <f t="shared" si="4"/>
        <v/>
      </c>
      <c r="L56" s="8"/>
      <c r="M56" s="9" t="str">
        <f t="shared" si="5"/>
        <v/>
      </c>
      <c r="N56" s="3"/>
      <c r="O56" s="4"/>
      <c r="P56" s="4"/>
    </row>
    <row r="57" spans="1:16">
      <c r="A57" s="3"/>
      <c r="B57" s="3"/>
      <c r="C57" s="3"/>
      <c r="D57" s="3"/>
      <c r="E57" s="15"/>
      <c r="F57" s="15"/>
      <c r="G57" s="15"/>
      <c r="H57" s="15"/>
      <c r="I57" s="16" t="str">
        <f t="shared" si="3"/>
        <v/>
      </c>
      <c r="J57" s="15"/>
      <c r="K57" s="7" t="str">
        <f t="shared" si="4"/>
        <v/>
      </c>
      <c r="L57" s="8"/>
      <c r="M57" s="9" t="str">
        <f t="shared" si="5"/>
        <v/>
      </c>
      <c r="N57" s="3"/>
      <c r="O57" s="4"/>
      <c r="P57" s="4"/>
    </row>
    <row r="58" spans="1:16">
      <c r="A58" s="3"/>
      <c r="B58" s="3"/>
      <c r="C58" s="3"/>
      <c r="D58" s="3"/>
      <c r="E58" s="15"/>
      <c r="F58" s="15"/>
      <c r="G58" s="15"/>
      <c r="H58" s="15"/>
      <c r="I58" s="16" t="str">
        <f t="shared" si="3"/>
        <v/>
      </c>
      <c r="J58" s="15"/>
      <c r="K58" s="7" t="str">
        <f t="shared" si="4"/>
        <v/>
      </c>
      <c r="L58" s="8"/>
      <c r="M58" s="9" t="str">
        <f t="shared" si="5"/>
        <v/>
      </c>
      <c r="N58" s="3"/>
      <c r="O58" s="4"/>
      <c r="P58" s="4"/>
    </row>
    <row r="59" spans="1:16">
      <c r="A59" s="3"/>
      <c r="B59" s="3"/>
      <c r="C59" s="3"/>
      <c r="D59" s="3"/>
      <c r="E59" s="15"/>
      <c r="F59" s="15"/>
      <c r="G59" s="15"/>
      <c r="H59" s="15"/>
      <c r="I59" s="16" t="str">
        <f t="shared" si="3"/>
        <v/>
      </c>
      <c r="J59" s="15"/>
      <c r="K59" s="7" t="str">
        <f t="shared" si="4"/>
        <v/>
      </c>
      <c r="L59" s="8"/>
      <c r="M59" s="9" t="str">
        <f t="shared" si="5"/>
        <v/>
      </c>
      <c r="N59" s="3"/>
      <c r="O59" s="4"/>
      <c r="P59" s="4"/>
    </row>
    <row r="60" spans="1:16">
      <c r="A60" s="3"/>
      <c r="B60" s="3"/>
      <c r="C60" s="3"/>
      <c r="D60" s="3"/>
      <c r="E60" s="15"/>
      <c r="F60" s="15"/>
      <c r="G60" s="15"/>
      <c r="H60" s="15"/>
      <c r="I60" s="16" t="str">
        <f t="shared" si="3"/>
        <v/>
      </c>
      <c r="J60" s="15"/>
      <c r="K60" s="7" t="str">
        <f t="shared" si="4"/>
        <v/>
      </c>
      <c r="L60" s="8"/>
      <c r="M60" s="9" t="str">
        <f t="shared" si="5"/>
        <v/>
      </c>
      <c r="N60" s="3"/>
      <c r="O60" s="4"/>
      <c r="P60" s="4"/>
    </row>
    <row r="61" spans="1:16">
      <c r="A61" s="3"/>
      <c r="B61" s="3"/>
      <c r="C61" s="3"/>
      <c r="D61" s="3"/>
      <c r="E61" s="15"/>
      <c r="F61" s="15"/>
      <c r="G61" s="15"/>
      <c r="H61" s="15"/>
      <c r="I61" s="16" t="str">
        <f t="shared" si="3"/>
        <v/>
      </c>
      <c r="J61" s="15"/>
      <c r="K61" s="7" t="str">
        <f t="shared" si="4"/>
        <v/>
      </c>
      <c r="L61" s="8"/>
      <c r="M61" s="9" t="str">
        <f t="shared" si="5"/>
        <v/>
      </c>
      <c r="N61" s="3"/>
      <c r="O61" s="4"/>
      <c r="P61" s="4"/>
    </row>
    <row r="62" spans="1:16">
      <c r="A62" s="3"/>
      <c r="B62" s="3"/>
      <c r="C62" s="3"/>
      <c r="D62" s="3"/>
      <c r="E62" s="15"/>
      <c r="F62" s="15"/>
      <c r="G62" s="15"/>
      <c r="H62" s="15"/>
      <c r="I62" s="16" t="str">
        <f t="shared" si="3"/>
        <v/>
      </c>
      <c r="J62" s="15"/>
      <c r="K62" s="7" t="str">
        <f t="shared" si="4"/>
        <v/>
      </c>
      <c r="L62" s="8"/>
      <c r="M62" s="9" t="str">
        <f t="shared" si="5"/>
        <v/>
      </c>
      <c r="N62" s="3"/>
      <c r="O62" s="4"/>
      <c r="P62" s="4"/>
    </row>
    <row r="63" spans="1:16">
      <c r="A63" s="3"/>
      <c r="B63" s="3"/>
      <c r="C63" s="3"/>
      <c r="D63" s="3"/>
      <c r="E63" s="15"/>
      <c r="F63" s="15"/>
      <c r="G63" s="15"/>
      <c r="H63" s="15"/>
      <c r="I63" s="16" t="str">
        <f t="shared" si="3"/>
        <v/>
      </c>
      <c r="J63" s="15"/>
      <c r="K63" s="7" t="str">
        <f t="shared" si="4"/>
        <v/>
      </c>
      <c r="L63" s="8"/>
      <c r="M63" s="9" t="str">
        <f t="shared" si="5"/>
        <v/>
      </c>
      <c r="N63" s="3"/>
      <c r="O63" s="4"/>
      <c r="P63" s="4"/>
    </row>
    <row r="64" spans="1:16">
      <c r="A64" s="3"/>
      <c r="B64" s="3"/>
      <c r="C64" s="3"/>
      <c r="D64" s="3"/>
      <c r="E64" s="15"/>
      <c r="F64" s="15"/>
      <c r="G64" s="15"/>
      <c r="H64" s="15"/>
      <c r="I64" s="16" t="str">
        <f t="shared" si="3"/>
        <v/>
      </c>
      <c r="J64" s="15"/>
      <c r="K64" s="7" t="str">
        <f t="shared" si="4"/>
        <v/>
      </c>
      <c r="L64" s="8"/>
      <c r="M64" s="9" t="str">
        <f t="shared" si="5"/>
        <v/>
      </c>
      <c r="N64" s="3"/>
      <c r="O64" s="4"/>
      <c r="P64" s="4"/>
    </row>
    <row r="65" spans="1:16">
      <c r="A65" s="3"/>
      <c r="B65" s="3"/>
      <c r="C65" s="3"/>
      <c r="D65" s="3"/>
      <c r="E65" s="15"/>
      <c r="F65" s="15"/>
      <c r="G65" s="15"/>
      <c r="H65" s="15"/>
      <c r="I65" s="16" t="str">
        <f t="shared" si="3"/>
        <v/>
      </c>
      <c r="J65" s="15"/>
      <c r="K65" s="7" t="str">
        <f t="shared" si="4"/>
        <v/>
      </c>
      <c r="L65" s="8"/>
      <c r="M65" s="9" t="str">
        <f t="shared" si="5"/>
        <v/>
      </c>
      <c r="N65" s="3"/>
      <c r="O65" s="4"/>
      <c r="P65" s="4"/>
    </row>
    <row r="66" spans="1:16">
      <c r="A66" s="3"/>
      <c r="B66" s="3"/>
      <c r="C66" s="3"/>
      <c r="D66" s="3"/>
      <c r="E66" s="15"/>
      <c r="F66" s="15"/>
      <c r="G66" s="15"/>
      <c r="H66" s="15"/>
      <c r="I66" s="16" t="str">
        <f t="shared" si="3"/>
        <v/>
      </c>
      <c r="J66" s="15"/>
      <c r="K66" s="7" t="str">
        <f t="shared" si="4"/>
        <v/>
      </c>
      <c r="L66" s="8"/>
      <c r="M66" s="9" t="str">
        <f t="shared" si="5"/>
        <v/>
      </c>
      <c r="N66" s="3"/>
      <c r="O66" s="4"/>
      <c r="P66" s="4"/>
    </row>
    <row r="67" spans="1:16">
      <c r="A67" s="3"/>
      <c r="B67" s="3"/>
      <c r="C67" s="3"/>
      <c r="D67" s="3"/>
      <c r="E67" s="15"/>
      <c r="F67" s="15"/>
      <c r="G67" s="15"/>
      <c r="H67" s="15"/>
      <c r="I67" s="16" t="str">
        <f t="shared" si="3"/>
        <v/>
      </c>
      <c r="J67" s="15"/>
      <c r="K67" s="7" t="str">
        <f t="shared" si="4"/>
        <v/>
      </c>
      <c r="L67" s="8"/>
      <c r="M67" s="9" t="str">
        <f t="shared" si="5"/>
        <v/>
      </c>
      <c r="N67" s="3"/>
      <c r="O67" s="4"/>
      <c r="P67" s="4"/>
    </row>
    <row r="68" spans="1:16">
      <c r="A68" s="3"/>
      <c r="B68" s="3"/>
      <c r="C68" s="3"/>
      <c r="D68" s="3"/>
      <c r="E68" s="15"/>
      <c r="F68" s="15"/>
      <c r="G68" s="15"/>
      <c r="H68" s="15"/>
      <c r="I68" s="16" t="str">
        <f t="shared" si="3"/>
        <v/>
      </c>
      <c r="J68" s="15"/>
      <c r="K68" s="7" t="str">
        <f t="shared" si="4"/>
        <v/>
      </c>
      <c r="L68" s="8"/>
      <c r="M68" s="9" t="str">
        <f t="shared" si="5"/>
        <v/>
      </c>
      <c r="N68" s="3"/>
      <c r="O68" s="4"/>
      <c r="P68" s="4"/>
    </row>
    <row r="69" spans="1:16">
      <c r="A69" s="3"/>
      <c r="B69" s="3"/>
      <c r="C69" s="3"/>
      <c r="D69" s="3"/>
      <c r="E69" s="15"/>
      <c r="F69" s="15"/>
      <c r="G69" s="15"/>
      <c r="H69" s="15"/>
      <c r="I69" s="16" t="str">
        <f t="shared" ref="I69:I100" si="6">IF(A69="","",E69+F69-G69-H69)</f>
        <v/>
      </c>
      <c r="J69" s="15"/>
      <c r="K69" s="7" t="str">
        <f t="shared" ref="K69:K100" si="7">IF(I69="","",IF(I69&lt;=J69,"REORDER","OK"))</f>
        <v/>
      </c>
      <c r="L69" s="8"/>
      <c r="M69" s="9" t="str">
        <f t="shared" ref="M69:M100" si="8">IF(OR(I69="",L69=""),"",I69*L69)</f>
        <v/>
      </c>
      <c r="N69" s="3"/>
      <c r="O69" s="4"/>
      <c r="P69" s="4"/>
    </row>
    <row r="70" spans="1:16">
      <c r="A70" s="3"/>
      <c r="B70" s="3"/>
      <c r="C70" s="3"/>
      <c r="D70" s="3"/>
      <c r="E70" s="15"/>
      <c r="F70" s="15"/>
      <c r="G70" s="15"/>
      <c r="H70" s="15"/>
      <c r="I70" s="16" t="str">
        <f t="shared" si="6"/>
        <v/>
      </c>
      <c r="J70" s="15"/>
      <c r="K70" s="7" t="str">
        <f t="shared" si="7"/>
        <v/>
      </c>
      <c r="L70" s="8"/>
      <c r="M70" s="9" t="str">
        <f t="shared" si="8"/>
        <v/>
      </c>
      <c r="N70" s="3"/>
      <c r="O70" s="4"/>
      <c r="P70" s="4"/>
    </row>
    <row r="71" spans="1:16">
      <c r="A71" s="3"/>
      <c r="B71" s="3"/>
      <c r="C71" s="3"/>
      <c r="D71" s="3"/>
      <c r="E71" s="15"/>
      <c r="F71" s="15"/>
      <c r="G71" s="15"/>
      <c r="H71" s="15"/>
      <c r="I71" s="16" t="str">
        <f t="shared" si="6"/>
        <v/>
      </c>
      <c r="J71" s="15"/>
      <c r="K71" s="7" t="str">
        <f t="shared" si="7"/>
        <v/>
      </c>
      <c r="L71" s="8"/>
      <c r="M71" s="9" t="str">
        <f t="shared" si="8"/>
        <v/>
      </c>
      <c r="N71" s="3"/>
      <c r="O71" s="4"/>
      <c r="P71" s="4"/>
    </row>
    <row r="72" spans="1:16">
      <c r="A72" s="3"/>
      <c r="B72" s="3"/>
      <c r="C72" s="3"/>
      <c r="D72" s="3"/>
      <c r="E72" s="15"/>
      <c r="F72" s="15"/>
      <c r="G72" s="15"/>
      <c r="H72" s="15"/>
      <c r="I72" s="16" t="str">
        <f t="shared" si="6"/>
        <v/>
      </c>
      <c r="J72" s="15"/>
      <c r="K72" s="7" t="str">
        <f t="shared" si="7"/>
        <v/>
      </c>
      <c r="L72" s="8"/>
      <c r="M72" s="9" t="str">
        <f t="shared" si="8"/>
        <v/>
      </c>
      <c r="N72" s="3"/>
      <c r="O72" s="4"/>
      <c r="P72" s="4"/>
    </row>
    <row r="73" spans="1:16">
      <c r="A73" s="3"/>
      <c r="B73" s="3"/>
      <c r="C73" s="3"/>
      <c r="D73" s="3"/>
      <c r="E73" s="15"/>
      <c r="F73" s="15"/>
      <c r="G73" s="15"/>
      <c r="H73" s="15"/>
      <c r="I73" s="16" t="str">
        <f t="shared" si="6"/>
        <v/>
      </c>
      <c r="J73" s="15"/>
      <c r="K73" s="7" t="str">
        <f t="shared" si="7"/>
        <v/>
      </c>
      <c r="L73" s="8"/>
      <c r="M73" s="9" t="str">
        <f t="shared" si="8"/>
        <v/>
      </c>
      <c r="N73" s="3"/>
      <c r="O73" s="4"/>
      <c r="P73" s="4"/>
    </row>
    <row r="74" spans="1:16">
      <c r="A74" s="3"/>
      <c r="B74" s="3"/>
      <c r="C74" s="3"/>
      <c r="D74" s="3"/>
      <c r="E74" s="15"/>
      <c r="F74" s="15"/>
      <c r="G74" s="15"/>
      <c r="H74" s="15"/>
      <c r="I74" s="16" t="str">
        <f t="shared" si="6"/>
        <v/>
      </c>
      <c r="J74" s="15"/>
      <c r="K74" s="7" t="str">
        <f t="shared" si="7"/>
        <v/>
      </c>
      <c r="L74" s="8"/>
      <c r="M74" s="9" t="str">
        <f t="shared" si="8"/>
        <v/>
      </c>
      <c r="N74" s="3"/>
      <c r="O74" s="4"/>
      <c r="P74" s="4"/>
    </row>
    <row r="75" spans="1:16">
      <c r="A75" s="3"/>
      <c r="B75" s="3"/>
      <c r="C75" s="3"/>
      <c r="D75" s="3"/>
      <c r="E75" s="15"/>
      <c r="F75" s="15"/>
      <c r="G75" s="15"/>
      <c r="H75" s="15"/>
      <c r="I75" s="16" t="str">
        <f t="shared" si="6"/>
        <v/>
      </c>
      <c r="J75" s="15"/>
      <c r="K75" s="7" t="str">
        <f t="shared" si="7"/>
        <v/>
      </c>
      <c r="L75" s="8"/>
      <c r="M75" s="9" t="str">
        <f t="shared" si="8"/>
        <v/>
      </c>
      <c r="N75" s="3"/>
      <c r="O75" s="4"/>
      <c r="P75" s="4"/>
    </row>
    <row r="76" spans="1:16">
      <c r="A76" s="3"/>
      <c r="B76" s="3"/>
      <c r="C76" s="3"/>
      <c r="D76" s="3"/>
      <c r="E76" s="15"/>
      <c r="F76" s="15"/>
      <c r="G76" s="15"/>
      <c r="H76" s="15"/>
      <c r="I76" s="16" t="str">
        <f t="shared" si="6"/>
        <v/>
      </c>
      <c r="J76" s="15"/>
      <c r="K76" s="7" t="str">
        <f t="shared" si="7"/>
        <v/>
      </c>
      <c r="L76" s="8"/>
      <c r="M76" s="9" t="str">
        <f t="shared" si="8"/>
        <v/>
      </c>
      <c r="N76" s="3"/>
      <c r="O76" s="4"/>
      <c r="P76" s="4"/>
    </row>
    <row r="77" spans="1:16">
      <c r="A77" s="3"/>
      <c r="B77" s="3"/>
      <c r="C77" s="3"/>
      <c r="D77" s="3"/>
      <c r="E77" s="15"/>
      <c r="F77" s="15"/>
      <c r="G77" s="15"/>
      <c r="H77" s="15"/>
      <c r="I77" s="16" t="str">
        <f t="shared" si="6"/>
        <v/>
      </c>
      <c r="J77" s="15"/>
      <c r="K77" s="7" t="str">
        <f t="shared" si="7"/>
        <v/>
      </c>
      <c r="L77" s="8"/>
      <c r="M77" s="9" t="str">
        <f t="shared" si="8"/>
        <v/>
      </c>
      <c r="N77" s="3"/>
      <c r="O77" s="4"/>
      <c r="P77" s="4"/>
    </row>
    <row r="78" spans="1:16">
      <c r="A78" s="3"/>
      <c r="B78" s="3"/>
      <c r="C78" s="3"/>
      <c r="D78" s="3"/>
      <c r="E78" s="15"/>
      <c r="F78" s="15"/>
      <c r="G78" s="15"/>
      <c r="H78" s="15"/>
      <c r="I78" s="16" t="str">
        <f t="shared" si="6"/>
        <v/>
      </c>
      <c r="J78" s="15"/>
      <c r="K78" s="7" t="str">
        <f t="shared" si="7"/>
        <v/>
      </c>
      <c r="L78" s="8"/>
      <c r="M78" s="9" t="str">
        <f t="shared" si="8"/>
        <v/>
      </c>
      <c r="N78" s="3"/>
      <c r="O78" s="4"/>
      <c r="P78" s="4"/>
    </row>
    <row r="79" spans="1:16">
      <c r="A79" s="3"/>
      <c r="B79" s="3"/>
      <c r="C79" s="3"/>
      <c r="D79" s="3"/>
      <c r="E79" s="15"/>
      <c r="F79" s="15"/>
      <c r="G79" s="15"/>
      <c r="H79" s="15"/>
      <c r="I79" s="16" t="str">
        <f t="shared" si="6"/>
        <v/>
      </c>
      <c r="J79" s="15"/>
      <c r="K79" s="7" t="str">
        <f t="shared" si="7"/>
        <v/>
      </c>
      <c r="L79" s="8"/>
      <c r="M79" s="9" t="str">
        <f t="shared" si="8"/>
        <v/>
      </c>
      <c r="N79" s="3"/>
      <c r="O79" s="4"/>
      <c r="P79" s="4"/>
    </row>
    <row r="80" spans="1:16">
      <c r="A80" s="3"/>
      <c r="B80" s="3"/>
      <c r="C80" s="3"/>
      <c r="D80" s="3"/>
      <c r="E80" s="15"/>
      <c r="F80" s="15"/>
      <c r="G80" s="15"/>
      <c r="H80" s="15"/>
      <c r="I80" s="16" t="str">
        <f t="shared" si="6"/>
        <v/>
      </c>
      <c r="J80" s="15"/>
      <c r="K80" s="7" t="str">
        <f t="shared" si="7"/>
        <v/>
      </c>
      <c r="L80" s="8"/>
      <c r="M80" s="9" t="str">
        <f t="shared" si="8"/>
        <v/>
      </c>
      <c r="N80" s="3"/>
      <c r="O80" s="4"/>
      <c r="P80" s="4"/>
    </row>
    <row r="81" spans="1:16">
      <c r="A81" s="3"/>
      <c r="B81" s="3"/>
      <c r="C81" s="3"/>
      <c r="D81" s="3"/>
      <c r="E81" s="15"/>
      <c r="F81" s="15"/>
      <c r="G81" s="15"/>
      <c r="H81" s="15"/>
      <c r="I81" s="16" t="str">
        <f t="shared" si="6"/>
        <v/>
      </c>
      <c r="J81" s="15"/>
      <c r="K81" s="7" t="str">
        <f t="shared" si="7"/>
        <v/>
      </c>
      <c r="L81" s="8"/>
      <c r="M81" s="9" t="str">
        <f t="shared" si="8"/>
        <v/>
      </c>
      <c r="N81" s="3"/>
      <c r="O81" s="4"/>
      <c r="P81" s="4"/>
    </row>
    <row r="82" spans="1:16">
      <c r="A82" s="3"/>
      <c r="B82" s="3"/>
      <c r="C82" s="3"/>
      <c r="D82" s="3"/>
      <c r="E82" s="15"/>
      <c r="F82" s="15"/>
      <c r="G82" s="15"/>
      <c r="H82" s="15"/>
      <c r="I82" s="16" t="str">
        <f t="shared" si="6"/>
        <v/>
      </c>
      <c r="J82" s="15"/>
      <c r="K82" s="7" t="str">
        <f t="shared" si="7"/>
        <v/>
      </c>
      <c r="L82" s="8"/>
      <c r="M82" s="9" t="str">
        <f t="shared" si="8"/>
        <v/>
      </c>
      <c r="N82" s="3"/>
      <c r="O82" s="4"/>
      <c r="P82" s="4"/>
    </row>
    <row r="83" spans="1:16">
      <c r="A83" s="3"/>
      <c r="B83" s="3"/>
      <c r="C83" s="3"/>
      <c r="D83" s="3"/>
      <c r="E83" s="15"/>
      <c r="F83" s="15"/>
      <c r="G83" s="15"/>
      <c r="H83" s="15"/>
      <c r="I83" s="16" t="str">
        <f t="shared" si="6"/>
        <v/>
      </c>
      <c r="J83" s="15"/>
      <c r="K83" s="7" t="str">
        <f t="shared" si="7"/>
        <v/>
      </c>
      <c r="L83" s="8"/>
      <c r="M83" s="9" t="str">
        <f t="shared" si="8"/>
        <v/>
      </c>
      <c r="N83" s="3"/>
      <c r="O83" s="4"/>
      <c r="P83" s="4"/>
    </row>
    <row r="84" spans="1:16">
      <c r="A84" s="3"/>
      <c r="B84" s="3"/>
      <c r="C84" s="3"/>
      <c r="D84" s="3"/>
      <c r="E84" s="15"/>
      <c r="F84" s="15"/>
      <c r="G84" s="15"/>
      <c r="H84" s="15"/>
      <c r="I84" s="16" t="str">
        <f t="shared" si="6"/>
        <v/>
      </c>
      <c r="J84" s="15"/>
      <c r="K84" s="7" t="str">
        <f t="shared" si="7"/>
        <v/>
      </c>
      <c r="L84" s="8"/>
      <c r="M84" s="9" t="str">
        <f t="shared" si="8"/>
        <v/>
      </c>
      <c r="N84" s="3"/>
      <c r="O84" s="4"/>
      <c r="P84" s="4"/>
    </row>
    <row r="85" spans="1:16">
      <c r="A85" s="3"/>
      <c r="B85" s="3"/>
      <c r="C85" s="3"/>
      <c r="D85" s="3"/>
      <c r="E85" s="15"/>
      <c r="F85" s="15"/>
      <c r="G85" s="15"/>
      <c r="H85" s="15"/>
      <c r="I85" s="16" t="str">
        <f t="shared" si="6"/>
        <v/>
      </c>
      <c r="J85" s="15"/>
      <c r="K85" s="7" t="str">
        <f t="shared" si="7"/>
        <v/>
      </c>
      <c r="L85" s="8"/>
      <c r="M85" s="9" t="str">
        <f t="shared" si="8"/>
        <v/>
      </c>
      <c r="N85" s="3"/>
      <c r="O85" s="4"/>
      <c r="P85" s="4"/>
    </row>
    <row r="86" spans="1:16">
      <c r="A86" s="3"/>
      <c r="B86" s="3"/>
      <c r="C86" s="3"/>
      <c r="D86" s="3"/>
      <c r="E86" s="15"/>
      <c r="F86" s="15"/>
      <c r="G86" s="15"/>
      <c r="H86" s="15"/>
      <c r="I86" s="16" t="str">
        <f t="shared" si="6"/>
        <v/>
      </c>
      <c r="J86" s="15"/>
      <c r="K86" s="7" t="str">
        <f t="shared" si="7"/>
        <v/>
      </c>
      <c r="L86" s="8"/>
      <c r="M86" s="9" t="str">
        <f t="shared" si="8"/>
        <v/>
      </c>
      <c r="N86" s="3"/>
      <c r="O86" s="4"/>
      <c r="P86" s="4"/>
    </row>
    <row r="87" spans="1:16">
      <c r="A87" s="3"/>
      <c r="B87" s="3"/>
      <c r="C87" s="3"/>
      <c r="D87" s="3"/>
      <c r="E87" s="15"/>
      <c r="F87" s="15"/>
      <c r="G87" s="15"/>
      <c r="H87" s="15"/>
      <c r="I87" s="16" t="str">
        <f t="shared" si="6"/>
        <v/>
      </c>
      <c r="J87" s="15"/>
      <c r="K87" s="7" t="str">
        <f t="shared" si="7"/>
        <v/>
      </c>
      <c r="L87" s="8"/>
      <c r="M87" s="9" t="str">
        <f t="shared" si="8"/>
        <v/>
      </c>
      <c r="N87" s="3"/>
      <c r="O87" s="4"/>
      <c r="P87" s="4"/>
    </row>
    <row r="88" spans="1:16">
      <c r="A88" s="3"/>
      <c r="B88" s="3"/>
      <c r="C88" s="3"/>
      <c r="D88" s="3"/>
      <c r="E88" s="15"/>
      <c r="F88" s="15"/>
      <c r="G88" s="15"/>
      <c r="H88" s="15"/>
      <c r="I88" s="16" t="str">
        <f t="shared" si="6"/>
        <v/>
      </c>
      <c r="J88" s="15"/>
      <c r="K88" s="7" t="str">
        <f t="shared" si="7"/>
        <v/>
      </c>
      <c r="L88" s="8"/>
      <c r="M88" s="9" t="str">
        <f t="shared" si="8"/>
        <v/>
      </c>
      <c r="N88" s="3"/>
      <c r="O88" s="4"/>
      <c r="P88" s="4"/>
    </row>
    <row r="89" spans="1:16">
      <c r="A89" s="3"/>
      <c r="B89" s="3"/>
      <c r="C89" s="3"/>
      <c r="D89" s="3"/>
      <c r="E89" s="15"/>
      <c r="F89" s="15"/>
      <c r="G89" s="15"/>
      <c r="H89" s="15"/>
      <c r="I89" s="16" t="str">
        <f t="shared" si="6"/>
        <v/>
      </c>
      <c r="J89" s="15"/>
      <c r="K89" s="7" t="str">
        <f t="shared" si="7"/>
        <v/>
      </c>
      <c r="L89" s="8"/>
      <c r="M89" s="9" t="str">
        <f t="shared" si="8"/>
        <v/>
      </c>
      <c r="N89" s="3"/>
      <c r="O89" s="4"/>
      <c r="P89" s="4"/>
    </row>
    <row r="90" spans="1:16">
      <c r="A90" s="3"/>
      <c r="B90" s="3"/>
      <c r="C90" s="3"/>
      <c r="D90" s="3"/>
      <c r="E90" s="15"/>
      <c r="F90" s="15"/>
      <c r="G90" s="15"/>
      <c r="H90" s="15"/>
      <c r="I90" s="16" t="str">
        <f t="shared" si="6"/>
        <v/>
      </c>
      <c r="J90" s="15"/>
      <c r="K90" s="7" t="str">
        <f t="shared" si="7"/>
        <v/>
      </c>
      <c r="L90" s="8"/>
      <c r="M90" s="9" t="str">
        <f t="shared" si="8"/>
        <v/>
      </c>
      <c r="N90" s="3"/>
      <c r="O90" s="4"/>
      <c r="P90" s="4"/>
    </row>
    <row r="91" spans="1:16">
      <c r="A91" s="3"/>
      <c r="B91" s="3"/>
      <c r="C91" s="3"/>
      <c r="D91" s="3"/>
      <c r="E91" s="15"/>
      <c r="F91" s="15"/>
      <c r="G91" s="15"/>
      <c r="H91" s="15"/>
      <c r="I91" s="16" t="str">
        <f t="shared" si="6"/>
        <v/>
      </c>
      <c r="J91" s="15"/>
      <c r="K91" s="7" t="str">
        <f t="shared" si="7"/>
        <v/>
      </c>
      <c r="L91" s="8"/>
      <c r="M91" s="9" t="str">
        <f t="shared" si="8"/>
        <v/>
      </c>
      <c r="N91" s="3"/>
      <c r="O91" s="4"/>
      <c r="P91" s="4"/>
    </row>
    <row r="92" spans="1:16">
      <c r="A92" s="3"/>
      <c r="B92" s="3"/>
      <c r="C92" s="3"/>
      <c r="D92" s="3"/>
      <c r="E92" s="15"/>
      <c r="F92" s="15"/>
      <c r="G92" s="15"/>
      <c r="H92" s="15"/>
      <c r="I92" s="16" t="str">
        <f t="shared" si="6"/>
        <v/>
      </c>
      <c r="J92" s="15"/>
      <c r="K92" s="7" t="str">
        <f t="shared" si="7"/>
        <v/>
      </c>
      <c r="L92" s="8"/>
      <c r="M92" s="9" t="str">
        <f t="shared" si="8"/>
        <v/>
      </c>
      <c r="N92" s="3"/>
      <c r="O92" s="4"/>
      <c r="P92" s="4"/>
    </row>
    <row r="93" spans="1:16">
      <c r="A93" s="3"/>
      <c r="B93" s="3"/>
      <c r="C93" s="3"/>
      <c r="D93" s="3"/>
      <c r="E93" s="15"/>
      <c r="F93" s="15"/>
      <c r="G93" s="15"/>
      <c r="H93" s="15"/>
      <c r="I93" s="16" t="str">
        <f t="shared" si="6"/>
        <v/>
      </c>
      <c r="J93" s="15"/>
      <c r="K93" s="7" t="str">
        <f t="shared" si="7"/>
        <v/>
      </c>
      <c r="L93" s="8"/>
      <c r="M93" s="9" t="str">
        <f t="shared" si="8"/>
        <v/>
      </c>
      <c r="N93" s="3"/>
      <c r="O93" s="4"/>
      <c r="P93" s="4"/>
    </row>
    <row r="94" spans="1:16">
      <c r="A94" s="3"/>
      <c r="B94" s="3"/>
      <c r="C94" s="3"/>
      <c r="D94" s="3"/>
      <c r="E94" s="15"/>
      <c r="F94" s="15"/>
      <c r="G94" s="15"/>
      <c r="H94" s="15"/>
      <c r="I94" s="16" t="str">
        <f t="shared" si="6"/>
        <v/>
      </c>
      <c r="J94" s="15"/>
      <c r="K94" s="7" t="str">
        <f t="shared" si="7"/>
        <v/>
      </c>
      <c r="L94" s="8"/>
      <c r="M94" s="9" t="str">
        <f t="shared" si="8"/>
        <v/>
      </c>
      <c r="N94" s="3"/>
      <c r="O94" s="4"/>
      <c r="P94" s="4"/>
    </row>
    <row r="95" spans="1:16">
      <c r="A95" s="3"/>
      <c r="B95" s="3"/>
      <c r="C95" s="3"/>
      <c r="D95" s="3"/>
      <c r="E95" s="15"/>
      <c r="F95" s="15"/>
      <c r="G95" s="15"/>
      <c r="H95" s="15"/>
      <c r="I95" s="16" t="str">
        <f t="shared" si="6"/>
        <v/>
      </c>
      <c r="J95" s="15"/>
      <c r="K95" s="7" t="str">
        <f t="shared" si="7"/>
        <v/>
      </c>
      <c r="L95" s="8"/>
      <c r="M95" s="9" t="str">
        <f t="shared" si="8"/>
        <v/>
      </c>
      <c r="N95" s="3"/>
      <c r="O95" s="4"/>
      <c r="P95" s="4"/>
    </row>
    <row r="96" spans="1:16">
      <c r="A96" s="3"/>
      <c r="B96" s="3"/>
      <c r="C96" s="3"/>
      <c r="D96" s="3"/>
      <c r="E96" s="15"/>
      <c r="F96" s="15"/>
      <c r="G96" s="15"/>
      <c r="H96" s="15"/>
      <c r="I96" s="16" t="str">
        <f t="shared" si="6"/>
        <v/>
      </c>
      <c r="J96" s="15"/>
      <c r="K96" s="7" t="str">
        <f t="shared" si="7"/>
        <v/>
      </c>
      <c r="L96" s="8"/>
      <c r="M96" s="9" t="str">
        <f t="shared" si="8"/>
        <v/>
      </c>
      <c r="N96" s="3"/>
      <c r="O96" s="4"/>
      <c r="P96" s="4"/>
    </row>
    <row r="97" spans="1:16">
      <c r="A97" s="3"/>
      <c r="B97" s="3"/>
      <c r="C97" s="3"/>
      <c r="D97" s="3"/>
      <c r="E97" s="15"/>
      <c r="F97" s="15"/>
      <c r="G97" s="15"/>
      <c r="H97" s="15"/>
      <c r="I97" s="16" t="str">
        <f t="shared" si="6"/>
        <v/>
      </c>
      <c r="J97" s="15"/>
      <c r="K97" s="7" t="str">
        <f t="shared" si="7"/>
        <v/>
      </c>
      <c r="L97" s="8"/>
      <c r="M97" s="9" t="str">
        <f t="shared" si="8"/>
        <v/>
      </c>
      <c r="N97" s="3"/>
      <c r="O97" s="4"/>
      <c r="P97" s="4"/>
    </row>
    <row r="98" spans="1:16">
      <c r="A98" s="3"/>
      <c r="B98" s="3"/>
      <c r="C98" s="3"/>
      <c r="D98" s="3"/>
      <c r="E98" s="15"/>
      <c r="F98" s="15"/>
      <c r="G98" s="15"/>
      <c r="H98" s="15"/>
      <c r="I98" s="16" t="str">
        <f t="shared" si="6"/>
        <v/>
      </c>
      <c r="J98" s="15"/>
      <c r="K98" s="7" t="str">
        <f t="shared" si="7"/>
        <v/>
      </c>
      <c r="L98" s="8"/>
      <c r="M98" s="9" t="str">
        <f t="shared" si="8"/>
        <v/>
      </c>
      <c r="N98" s="3"/>
      <c r="O98" s="4"/>
      <c r="P98" s="4"/>
    </row>
    <row r="99" spans="1:16">
      <c r="A99" s="3"/>
      <c r="B99" s="3"/>
      <c r="C99" s="3"/>
      <c r="D99" s="3"/>
      <c r="E99" s="15"/>
      <c r="F99" s="15"/>
      <c r="G99" s="15"/>
      <c r="H99" s="15"/>
      <c r="I99" s="16" t="str">
        <f t="shared" si="6"/>
        <v/>
      </c>
      <c r="J99" s="15"/>
      <c r="K99" s="7" t="str">
        <f t="shared" si="7"/>
        <v/>
      </c>
      <c r="L99" s="8"/>
      <c r="M99" s="9" t="str">
        <f t="shared" si="8"/>
        <v/>
      </c>
      <c r="N99" s="3"/>
      <c r="O99" s="4"/>
      <c r="P99" s="4"/>
    </row>
    <row r="100" spans="1:16">
      <c r="A100" s="3"/>
      <c r="B100" s="3"/>
      <c r="C100" s="3"/>
      <c r="D100" s="3"/>
      <c r="E100" s="15"/>
      <c r="F100" s="15"/>
      <c r="G100" s="15"/>
      <c r="H100" s="15"/>
      <c r="I100" s="16" t="str">
        <f t="shared" si="6"/>
        <v/>
      </c>
      <c r="J100" s="15"/>
      <c r="K100" s="7" t="str">
        <f t="shared" si="7"/>
        <v/>
      </c>
      <c r="L100" s="8"/>
      <c r="M100" s="9" t="str">
        <f t="shared" si="8"/>
        <v/>
      </c>
      <c r="N100" s="3"/>
      <c r="O100" s="4"/>
      <c r="P100" s="4"/>
    </row>
    <row r="101" spans="1:16">
      <c r="A101" s="3"/>
      <c r="B101" s="3"/>
      <c r="C101" s="3"/>
      <c r="D101" s="3"/>
      <c r="E101" s="15"/>
      <c r="F101" s="15"/>
      <c r="G101" s="15"/>
      <c r="H101" s="15"/>
      <c r="I101" s="16" t="str">
        <f t="shared" ref="I101:I132" si="9">IF(A101="","",E101+F101-G101-H101)</f>
        <v/>
      </c>
      <c r="J101" s="15"/>
      <c r="K101" s="7" t="str">
        <f t="shared" ref="K101:K132" si="10">IF(I101="","",IF(I101&lt;=J101,"REORDER","OK"))</f>
        <v/>
      </c>
      <c r="L101" s="8"/>
      <c r="M101" s="9" t="str">
        <f t="shared" ref="M101:M132" si="11">IF(OR(I101="",L101=""),"",I101*L101)</f>
        <v/>
      </c>
      <c r="N101" s="3"/>
      <c r="O101" s="4"/>
      <c r="P101" s="4"/>
    </row>
    <row r="102" spans="1:16">
      <c r="A102" s="3"/>
      <c r="B102" s="3"/>
      <c r="C102" s="3"/>
      <c r="D102" s="3"/>
      <c r="E102" s="15"/>
      <c r="F102" s="15"/>
      <c r="G102" s="15"/>
      <c r="H102" s="15"/>
      <c r="I102" s="16" t="str">
        <f t="shared" si="9"/>
        <v/>
      </c>
      <c r="J102" s="15"/>
      <c r="K102" s="7" t="str">
        <f t="shared" si="10"/>
        <v/>
      </c>
      <c r="L102" s="8"/>
      <c r="M102" s="9" t="str">
        <f t="shared" si="11"/>
        <v/>
      </c>
      <c r="N102" s="3"/>
      <c r="O102" s="4"/>
      <c r="P102" s="4"/>
    </row>
    <row r="103" spans="1:16">
      <c r="A103" s="3"/>
      <c r="B103" s="3"/>
      <c r="C103" s="3"/>
      <c r="D103" s="3"/>
      <c r="E103" s="15"/>
      <c r="F103" s="15"/>
      <c r="G103" s="15"/>
      <c r="H103" s="15"/>
      <c r="I103" s="16" t="str">
        <f t="shared" si="9"/>
        <v/>
      </c>
      <c r="J103" s="15"/>
      <c r="K103" s="7" t="str">
        <f t="shared" si="10"/>
        <v/>
      </c>
      <c r="L103" s="8"/>
      <c r="M103" s="9" t="str">
        <f t="shared" si="11"/>
        <v/>
      </c>
      <c r="N103" s="3"/>
      <c r="O103" s="4"/>
      <c r="P103" s="4"/>
    </row>
    <row r="104" spans="1:16">
      <c r="A104" s="3"/>
      <c r="B104" s="3"/>
      <c r="C104" s="3"/>
      <c r="D104" s="3"/>
      <c r="E104" s="15"/>
      <c r="F104" s="15"/>
      <c r="G104" s="15"/>
      <c r="H104" s="15"/>
      <c r="I104" s="16" t="str">
        <f t="shared" si="9"/>
        <v/>
      </c>
      <c r="J104" s="15"/>
      <c r="K104" s="7" t="str">
        <f t="shared" si="10"/>
        <v/>
      </c>
      <c r="L104" s="8"/>
      <c r="M104" s="9" t="str">
        <f t="shared" si="11"/>
        <v/>
      </c>
      <c r="N104" s="3"/>
      <c r="O104" s="4"/>
      <c r="P104" s="4"/>
    </row>
  </sheetData>
  <mergeCells count="2">
    <mergeCell ref="A1:P1"/>
    <mergeCell ref="A2:P2"/>
  </mergeCells>
  <conditionalFormatting sqref="K5:K104">
    <cfRule type="expression" dxfId="3" priority="1">
      <formula>K5="REORDER"</formula>
    </cfRule>
    <cfRule type="expression" dxfId="2" priority="2">
      <formula>K5="OK"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Lists!$H$10:$H$14</xm:f>
          </x14:formula1>
          <xm:sqref>C5:C104</xm:sqref>
        </x14:dataValidation>
        <x14:dataValidation type="list" xr:uid="{00000000-0002-0000-0600-000001000000}">
          <x14:formula1>
            <xm:f>Lists!$I$10:$I$19</xm:f>
          </x14:formula1>
          <xm:sqref>D5:D104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4"/>
  <sheetViews>
    <sheetView workbookViewId="0"/>
  </sheetViews>
  <sheetFormatPr defaultRowHeight="13.8"/>
  <cols>
    <col min="1" max="1" width="15" customWidth="1"/>
    <col min="2" max="8" width="17" customWidth="1"/>
    <col min="9" max="10" width="14" customWidth="1"/>
    <col min="11" max="13" width="17" customWidth="1"/>
  </cols>
  <sheetData>
    <row r="1" spans="1:13" ht="27.15" customHeight="1">
      <c r="A1" s="22" t="s">
        <v>180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0.85" customHeight="1">
      <c r="A2" s="24" t="s">
        <v>181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13" ht="24" customHeight="1">
      <c r="A4" s="1" t="s">
        <v>64</v>
      </c>
      <c r="B4" s="1" t="s">
        <v>92</v>
      </c>
      <c r="C4" s="1" t="s">
        <v>182</v>
      </c>
      <c r="D4" s="1" t="s">
        <v>47</v>
      </c>
      <c r="E4" s="1" t="s">
        <v>48</v>
      </c>
      <c r="F4" s="1" t="s">
        <v>65</v>
      </c>
      <c r="G4" s="1" t="s">
        <v>49</v>
      </c>
      <c r="H4" s="1" t="s">
        <v>66</v>
      </c>
      <c r="I4" s="1" t="s">
        <v>51</v>
      </c>
      <c r="J4" s="1" t="s">
        <v>52</v>
      </c>
      <c r="K4" s="1" t="s">
        <v>116</v>
      </c>
      <c r="L4" s="1" t="s">
        <v>183</v>
      </c>
      <c r="M4" s="1" t="s">
        <v>184</v>
      </c>
    </row>
    <row r="5" spans="1:13">
      <c r="A5" s="17">
        <f>Lists!$B$5</f>
        <v>46204</v>
      </c>
      <c r="B5" s="14">
        <f>SUMIFS(Orders!$K$5:$K$154,Orders!$B$5:$B$154,$A5,Orders!$Q$5:$Q$154,"Paid",Orders!$R$5:$R$154,"Completed")</f>
        <v>0</v>
      </c>
      <c r="C5" s="14">
        <f>SUMIFS(Orders!$L$5:$L$154,Orders!$B$5:$B$154,$A5,Orders!$Q$5:$Q$154,"Paid",Orders!$R$5:$R$154,"Completed")</f>
        <v>0</v>
      </c>
      <c r="D5" s="14">
        <f>SUMIFS(Orders!$M$5:$M$154,Orders!$B$5:$B$154,$A5,Orders!$Q$5:$Q$154,"Paid",Orders!$R$5:$R$154,"Completed")</f>
        <v>0</v>
      </c>
      <c r="E5" s="14">
        <f>SUMIFS(Orders!$O$5:$O$154,Orders!$B$5:$B$154,$A5,Orders!$Q$5:$Q$154,"Paid",Orders!$R$5:$R$154,"Completed")</f>
        <v>0</v>
      </c>
      <c r="F5" s="14">
        <f>SUMIFS(Expenses!$J$5:$J$104,Expenses!$B$5:$B$104,$A5,Expenses!$L$5:$L$104,"Operating Expense",Expenses!$M$5:$M$104,"Paid")</f>
        <v>0</v>
      </c>
      <c r="G5" s="9">
        <f t="shared" ref="G5:G36" si="0">D5-E5</f>
        <v>0</v>
      </c>
      <c r="H5" s="9">
        <f t="shared" ref="H5:H36" si="1">G5-F5</f>
        <v>0</v>
      </c>
      <c r="I5" s="18">
        <f>SUMIFS(Orders!$U$5:$U$154,Orders!$B$5:$B$154,$A5)</f>
        <v>0</v>
      </c>
      <c r="J5" s="18">
        <f>SUMIFS(Orders!$H$5:$H$154,Orders!$B$5:$B$154,$A5,Orders!$Q$5:$Q$154,"Paid",Orders!$R$5:$R$154,"Completed")</f>
        <v>0</v>
      </c>
      <c r="K5" s="14">
        <f>SUMIFS(Orders!$M$5:$M$154,Orders!$B$5:$B$154,$A5,Orders!$P$5:$P$154,"Cash",Orders!$Q$5:$Q$154,"Paid",Orders!$R$5:$R$154,"Completed")</f>
        <v>0</v>
      </c>
      <c r="L5" s="14">
        <f t="shared" ref="L5:L36" si="2">D5-K5</f>
        <v>0</v>
      </c>
      <c r="M5" s="14">
        <f>SUMIFS(Expenses!$J$5:$J$104,Expenses!$B$5:$B$104,$A5,Expenses!$M$5:$M$104,"Paid")</f>
        <v>0</v>
      </c>
    </row>
    <row r="6" spans="1:13">
      <c r="A6" s="17">
        <f t="shared" ref="A6:A37" si="3">A5+1</f>
        <v>46205</v>
      </c>
      <c r="B6" s="14">
        <f>SUMIFS(Orders!$K$5:$K$154,Orders!$B$5:$B$154,$A6,Orders!$Q$5:$Q$154,"Paid",Orders!$R$5:$R$154,"Completed")</f>
        <v>0</v>
      </c>
      <c r="C6" s="14">
        <f>SUMIFS(Orders!$L$5:$L$154,Orders!$B$5:$B$154,$A6,Orders!$Q$5:$Q$154,"Paid",Orders!$R$5:$R$154,"Completed")</f>
        <v>0</v>
      </c>
      <c r="D6" s="14">
        <f>SUMIFS(Orders!$M$5:$M$154,Orders!$B$5:$B$154,$A6,Orders!$Q$5:$Q$154,"Paid",Orders!$R$5:$R$154,"Completed")</f>
        <v>0</v>
      </c>
      <c r="E6" s="14">
        <f>SUMIFS(Orders!$O$5:$O$154,Orders!$B$5:$B$154,$A6,Orders!$Q$5:$Q$154,"Paid",Orders!$R$5:$R$154,"Completed")</f>
        <v>0</v>
      </c>
      <c r="F6" s="14">
        <f>SUMIFS(Expenses!$J$5:$J$104,Expenses!$B$5:$B$104,$A6,Expenses!$L$5:$L$104,"Operating Expense",Expenses!$M$5:$M$104,"Paid")</f>
        <v>0</v>
      </c>
      <c r="G6" s="9">
        <f t="shared" si="0"/>
        <v>0</v>
      </c>
      <c r="H6" s="9">
        <f t="shared" si="1"/>
        <v>0</v>
      </c>
      <c r="I6" s="18">
        <f>SUMIFS(Orders!$U$5:$U$154,Orders!$B$5:$B$154,$A6)</f>
        <v>0</v>
      </c>
      <c r="J6" s="18">
        <f>SUMIFS(Orders!$H$5:$H$154,Orders!$B$5:$B$154,$A6,Orders!$Q$5:$Q$154,"Paid",Orders!$R$5:$R$154,"Completed")</f>
        <v>0</v>
      </c>
      <c r="K6" s="14">
        <f>SUMIFS(Orders!$M$5:$M$154,Orders!$B$5:$B$154,$A6,Orders!$P$5:$P$154,"Cash",Orders!$Q$5:$Q$154,"Paid",Orders!$R$5:$R$154,"Completed")</f>
        <v>0</v>
      </c>
      <c r="L6" s="14">
        <f t="shared" si="2"/>
        <v>0</v>
      </c>
      <c r="M6" s="14">
        <f>SUMIFS(Expenses!$J$5:$J$104,Expenses!$B$5:$B$104,$A6,Expenses!$M$5:$M$104,"Paid")</f>
        <v>0</v>
      </c>
    </row>
    <row r="7" spans="1:13">
      <c r="A7" s="17">
        <f t="shared" si="3"/>
        <v>46206</v>
      </c>
      <c r="B7" s="14">
        <f>SUMIFS(Orders!$K$5:$K$154,Orders!$B$5:$B$154,$A7,Orders!$Q$5:$Q$154,"Paid",Orders!$R$5:$R$154,"Completed")</f>
        <v>0</v>
      </c>
      <c r="C7" s="14">
        <f>SUMIFS(Orders!$L$5:$L$154,Orders!$B$5:$B$154,$A7,Orders!$Q$5:$Q$154,"Paid",Orders!$R$5:$R$154,"Completed")</f>
        <v>0</v>
      </c>
      <c r="D7" s="14">
        <f>SUMIFS(Orders!$M$5:$M$154,Orders!$B$5:$B$154,$A7,Orders!$Q$5:$Q$154,"Paid",Orders!$R$5:$R$154,"Completed")</f>
        <v>0</v>
      </c>
      <c r="E7" s="14">
        <f>SUMIFS(Orders!$O$5:$O$154,Orders!$B$5:$B$154,$A7,Orders!$Q$5:$Q$154,"Paid",Orders!$R$5:$R$154,"Completed")</f>
        <v>0</v>
      </c>
      <c r="F7" s="14">
        <f>SUMIFS(Expenses!$J$5:$J$104,Expenses!$B$5:$B$104,$A7,Expenses!$L$5:$L$104,"Operating Expense",Expenses!$M$5:$M$104,"Paid")</f>
        <v>0</v>
      </c>
      <c r="G7" s="9">
        <f t="shared" si="0"/>
        <v>0</v>
      </c>
      <c r="H7" s="9">
        <f t="shared" si="1"/>
        <v>0</v>
      </c>
      <c r="I7" s="18">
        <f>SUMIFS(Orders!$U$5:$U$154,Orders!$B$5:$B$154,$A7)</f>
        <v>0</v>
      </c>
      <c r="J7" s="18">
        <f>SUMIFS(Orders!$H$5:$H$154,Orders!$B$5:$B$154,$A7,Orders!$Q$5:$Q$154,"Paid",Orders!$R$5:$R$154,"Completed")</f>
        <v>0</v>
      </c>
      <c r="K7" s="14">
        <f>SUMIFS(Orders!$M$5:$M$154,Orders!$B$5:$B$154,$A7,Orders!$P$5:$P$154,"Cash",Orders!$Q$5:$Q$154,"Paid",Orders!$R$5:$R$154,"Completed")</f>
        <v>0</v>
      </c>
      <c r="L7" s="14">
        <f t="shared" si="2"/>
        <v>0</v>
      </c>
      <c r="M7" s="14">
        <f>SUMIFS(Expenses!$J$5:$J$104,Expenses!$B$5:$B$104,$A7,Expenses!$M$5:$M$104,"Paid")</f>
        <v>0</v>
      </c>
    </row>
    <row r="8" spans="1:13">
      <c r="A8" s="17">
        <f t="shared" si="3"/>
        <v>46207</v>
      </c>
      <c r="B8" s="14">
        <f>SUMIFS(Orders!$K$5:$K$154,Orders!$B$5:$B$154,$A8,Orders!$Q$5:$Q$154,"Paid",Orders!$R$5:$R$154,"Completed")</f>
        <v>0</v>
      </c>
      <c r="C8" s="14">
        <f>SUMIFS(Orders!$L$5:$L$154,Orders!$B$5:$B$154,$A8,Orders!$Q$5:$Q$154,"Paid",Orders!$R$5:$R$154,"Completed")</f>
        <v>0</v>
      </c>
      <c r="D8" s="14">
        <f>SUMIFS(Orders!$M$5:$M$154,Orders!$B$5:$B$154,$A8,Orders!$Q$5:$Q$154,"Paid",Orders!$R$5:$R$154,"Completed")</f>
        <v>0</v>
      </c>
      <c r="E8" s="14">
        <f>SUMIFS(Orders!$O$5:$O$154,Orders!$B$5:$B$154,$A8,Orders!$Q$5:$Q$154,"Paid",Orders!$R$5:$R$154,"Completed")</f>
        <v>0</v>
      </c>
      <c r="F8" s="14">
        <f>SUMIFS(Expenses!$J$5:$J$104,Expenses!$B$5:$B$104,$A8,Expenses!$L$5:$L$104,"Operating Expense",Expenses!$M$5:$M$104,"Paid")</f>
        <v>0</v>
      </c>
      <c r="G8" s="9">
        <f t="shared" si="0"/>
        <v>0</v>
      </c>
      <c r="H8" s="9">
        <f t="shared" si="1"/>
        <v>0</v>
      </c>
      <c r="I8" s="18">
        <f>SUMIFS(Orders!$U$5:$U$154,Orders!$B$5:$B$154,$A8)</f>
        <v>0</v>
      </c>
      <c r="J8" s="18">
        <f>SUMIFS(Orders!$H$5:$H$154,Orders!$B$5:$B$154,$A8,Orders!$Q$5:$Q$154,"Paid",Orders!$R$5:$R$154,"Completed")</f>
        <v>0</v>
      </c>
      <c r="K8" s="14">
        <f>SUMIFS(Orders!$M$5:$M$154,Orders!$B$5:$B$154,$A8,Orders!$P$5:$P$154,"Cash",Orders!$Q$5:$Q$154,"Paid",Orders!$R$5:$R$154,"Completed")</f>
        <v>0</v>
      </c>
      <c r="L8" s="14">
        <f t="shared" si="2"/>
        <v>0</v>
      </c>
      <c r="M8" s="14">
        <f>SUMIFS(Expenses!$J$5:$J$104,Expenses!$B$5:$B$104,$A8,Expenses!$M$5:$M$104,"Paid")</f>
        <v>0</v>
      </c>
    </row>
    <row r="9" spans="1:13">
      <c r="A9" s="17">
        <f t="shared" si="3"/>
        <v>46208</v>
      </c>
      <c r="B9" s="14">
        <f>SUMIFS(Orders!$K$5:$K$154,Orders!$B$5:$B$154,$A9,Orders!$Q$5:$Q$154,"Paid",Orders!$R$5:$R$154,"Completed")</f>
        <v>0</v>
      </c>
      <c r="C9" s="14">
        <f>SUMIFS(Orders!$L$5:$L$154,Orders!$B$5:$B$154,$A9,Orders!$Q$5:$Q$154,"Paid",Orders!$R$5:$R$154,"Completed")</f>
        <v>0</v>
      </c>
      <c r="D9" s="14">
        <f>SUMIFS(Orders!$M$5:$M$154,Orders!$B$5:$B$154,$A9,Orders!$Q$5:$Q$154,"Paid",Orders!$R$5:$R$154,"Completed")</f>
        <v>0</v>
      </c>
      <c r="E9" s="14">
        <f>SUMIFS(Orders!$O$5:$O$154,Orders!$B$5:$B$154,$A9,Orders!$Q$5:$Q$154,"Paid",Orders!$R$5:$R$154,"Completed")</f>
        <v>0</v>
      </c>
      <c r="F9" s="14">
        <f>SUMIFS(Expenses!$J$5:$J$104,Expenses!$B$5:$B$104,$A9,Expenses!$L$5:$L$104,"Operating Expense",Expenses!$M$5:$M$104,"Paid")</f>
        <v>0</v>
      </c>
      <c r="G9" s="9">
        <f t="shared" si="0"/>
        <v>0</v>
      </c>
      <c r="H9" s="9">
        <f t="shared" si="1"/>
        <v>0</v>
      </c>
      <c r="I9" s="18">
        <f>SUMIFS(Orders!$U$5:$U$154,Orders!$B$5:$B$154,$A9)</f>
        <v>0</v>
      </c>
      <c r="J9" s="18">
        <f>SUMIFS(Orders!$H$5:$H$154,Orders!$B$5:$B$154,$A9,Orders!$Q$5:$Q$154,"Paid",Orders!$R$5:$R$154,"Completed")</f>
        <v>0</v>
      </c>
      <c r="K9" s="14">
        <f>SUMIFS(Orders!$M$5:$M$154,Orders!$B$5:$B$154,$A9,Orders!$P$5:$P$154,"Cash",Orders!$Q$5:$Q$154,"Paid",Orders!$R$5:$R$154,"Completed")</f>
        <v>0</v>
      </c>
      <c r="L9" s="14">
        <f t="shared" si="2"/>
        <v>0</v>
      </c>
      <c r="M9" s="14">
        <f>SUMIFS(Expenses!$J$5:$J$104,Expenses!$B$5:$B$104,$A9,Expenses!$M$5:$M$104,"Paid")</f>
        <v>0</v>
      </c>
    </row>
    <row r="10" spans="1:13">
      <c r="A10" s="17">
        <f t="shared" si="3"/>
        <v>46209</v>
      </c>
      <c r="B10" s="14">
        <f>SUMIFS(Orders!$K$5:$K$154,Orders!$B$5:$B$154,$A10,Orders!$Q$5:$Q$154,"Paid",Orders!$R$5:$R$154,"Completed")</f>
        <v>0</v>
      </c>
      <c r="C10" s="14">
        <f>SUMIFS(Orders!$L$5:$L$154,Orders!$B$5:$B$154,$A10,Orders!$Q$5:$Q$154,"Paid",Orders!$R$5:$R$154,"Completed")</f>
        <v>0</v>
      </c>
      <c r="D10" s="14">
        <f>SUMIFS(Orders!$M$5:$M$154,Orders!$B$5:$B$154,$A10,Orders!$Q$5:$Q$154,"Paid",Orders!$R$5:$R$154,"Completed")</f>
        <v>0</v>
      </c>
      <c r="E10" s="14">
        <f>SUMIFS(Orders!$O$5:$O$154,Orders!$B$5:$B$154,$A10,Orders!$Q$5:$Q$154,"Paid",Orders!$R$5:$R$154,"Completed")</f>
        <v>0</v>
      </c>
      <c r="F10" s="14">
        <f>SUMIFS(Expenses!$J$5:$J$104,Expenses!$B$5:$B$104,$A10,Expenses!$L$5:$L$104,"Operating Expense",Expenses!$M$5:$M$104,"Paid")</f>
        <v>0</v>
      </c>
      <c r="G10" s="9">
        <f t="shared" si="0"/>
        <v>0</v>
      </c>
      <c r="H10" s="9">
        <f t="shared" si="1"/>
        <v>0</v>
      </c>
      <c r="I10" s="18">
        <f>SUMIFS(Orders!$U$5:$U$154,Orders!$B$5:$B$154,$A10)</f>
        <v>0</v>
      </c>
      <c r="J10" s="18">
        <f>SUMIFS(Orders!$H$5:$H$154,Orders!$B$5:$B$154,$A10,Orders!$Q$5:$Q$154,"Paid",Orders!$R$5:$R$154,"Completed")</f>
        <v>0</v>
      </c>
      <c r="K10" s="14">
        <f>SUMIFS(Orders!$M$5:$M$154,Orders!$B$5:$B$154,$A10,Orders!$P$5:$P$154,"Cash",Orders!$Q$5:$Q$154,"Paid",Orders!$R$5:$R$154,"Completed")</f>
        <v>0</v>
      </c>
      <c r="L10" s="14">
        <f t="shared" si="2"/>
        <v>0</v>
      </c>
      <c r="M10" s="14">
        <f>SUMIFS(Expenses!$J$5:$J$104,Expenses!$B$5:$B$104,$A10,Expenses!$M$5:$M$104,"Paid")</f>
        <v>0</v>
      </c>
    </row>
    <row r="11" spans="1:13">
      <c r="A11" s="17">
        <f t="shared" si="3"/>
        <v>46210</v>
      </c>
      <c r="B11" s="14">
        <f>SUMIFS(Orders!$K$5:$K$154,Orders!$B$5:$B$154,$A11,Orders!$Q$5:$Q$154,"Paid",Orders!$R$5:$R$154,"Completed")</f>
        <v>0</v>
      </c>
      <c r="C11" s="14">
        <f>SUMIFS(Orders!$L$5:$L$154,Orders!$B$5:$B$154,$A11,Orders!$Q$5:$Q$154,"Paid",Orders!$R$5:$R$154,"Completed")</f>
        <v>0</v>
      </c>
      <c r="D11" s="14">
        <f>SUMIFS(Orders!$M$5:$M$154,Orders!$B$5:$B$154,$A11,Orders!$Q$5:$Q$154,"Paid",Orders!$R$5:$R$154,"Completed")</f>
        <v>0</v>
      </c>
      <c r="E11" s="14">
        <f>SUMIFS(Orders!$O$5:$O$154,Orders!$B$5:$B$154,$A11,Orders!$Q$5:$Q$154,"Paid",Orders!$R$5:$R$154,"Completed")</f>
        <v>0</v>
      </c>
      <c r="F11" s="14">
        <f>SUMIFS(Expenses!$J$5:$J$104,Expenses!$B$5:$B$104,$A11,Expenses!$L$5:$L$104,"Operating Expense",Expenses!$M$5:$M$104,"Paid")</f>
        <v>0</v>
      </c>
      <c r="G11" s="9">
        <f t="shared" si="0"/>
        <v>0</v>
      </c>
      <c r="H11" s="9">
        <f t="shared" si="1"/>
        <v>0</v>
      </c>
      <c r="I11" s="18">
        <f>SUMIFS(Orders!$U$5:$U$154,Orders!$B$5:$B$154,$A11)</f>
        <v>0</v>
      </c>
      <c r="J11" s="18">
        <f>SUMIFS(Orders!$H$5:$H$154,Orders!$B$5:$B$154,$A11,Orders!$Q$5:$Q$154,"Paid",Orders!$R$5:$R$154,"Completed")</f>
        <v>0</v>
      </c>
      <c r="K11" s="14">
        <f>SUMIFS(Orders!$M$5:$M$154,Orders!$B$5:$B$154,$A11,Orders!$P$5:$P$154,"Cash",Orders!$Q$5:$Q$154,"Paid",Orders!$R$5:$R$154,"Completed")</f>
        <v>0</v>
      </c>
      <c r="L11" s="14">
        <f t="shared" si="2"/>
        <v>0</v>
      </c>
      <c r="M11" s="14">
        <f>SUMIFS(Expenses!$J$5:$J$104,Expenses!$B$5:$B$104,$A11,Expenses!$M$5:$M$104,"Paid")</f>
        <v>0</v>
      </c>
    </row>
    <row r="12" spans="1:13">
      <c r="A12" s="17">
        <f t="shared" si="3"/>
        <v>46211</v>
      </c>
      <c r="B12" s="14">
        <f>SUMIFS(Orders!$K$5:$K$154,Orders!$B$5:$B$154,$A12,Orders!$Q$5:$Q$154,"Paid",Orders!$R$5:$R$154,"Completed")</f>
        <v>0</v>
      </c>
      <c r="C12" s="14">
        <f>SUMIFS(Orders!$L$5:$L$154,Orders!$B$5:$B$154,$A12,Orders!$Q$5:$Q$154,"Paid",Orders!$R$5:$R$154,"Completed")</f>
        <v>0</v>
      </c>
      <c r="D12" s="14">
        <f>SUMIFS(Orders!$M$5:$M$154,Orders!$B$5:$B$154,$A12,Orders!$Q$5:$Q$154,"Paid",Orders!$R$5:$R$154,"Completed")</f>
        <v>0</v>
      </c>
      <c r="E12" s="14">
        <f>SUMIFS(Orders!$O$5:$O$154,Orders!$B$5:$B$154,$A12,Orders!$Q$5:$Q$154,"Paid",Orders!$R$5:$R$154,"Completed")</f>
        <v>0</v>
      </c>
      <c r="F12" s="14">
        <f>SUMIFS(Expenses!$J$5:$J$104,Expenses!$B$5:$B$104,$A12,Expenses!$L$5:$L$104,"Operating Expense",Expenses!$M$5:$M$104,"Paid")</f>
        <v>0</v>
      </c>
      <c r="G12" s="9">
        <f t="shared" si="0"/>
        <v>0</v>
      </c>
      <c r="H12" s="9">
        <f t="shared" si="1"/>
        <v>0</v>
      </c>
      <c r="I12" s="18">
        <f>SUMIFS(Orders!$U$5:$U$154,Orders!$B$5:$B$154,$A12)</f>
        <v>0</v>
      </c>
      <c r="J12" s="18">
        <f>SUMIFS(Orders!$H$5:$H$154,Orders!$B$5:$B$154,$A12,Orders!$Q$5:$Q$154,"Paid",Orders!$R$5:$R$154,"Completed")</f>
        <v>0</v>
      </c>
      <c r="K12" s="14">
        <f>SUMIFS(Orders!$M$5:$M$154,Orders!$B$5:$B$154,$A12,Orders!$P$5:$P$154,"Cash",Orders!$Q$5:$Q$154,"Paid",Orders!$R$5:$R$154,"Completed")</f>
        <v>0</v>
      </c>
      <c r="L12" s="14">
        <f t="shared" si="2"/>
        <v>0</v>
      </c>
      <c r="M12" s="14">
        <f>SUMIFS(Expenses!$J$5:$J$104,Expenses!$B$5:$B$104,$A12,Expenses!$M$5:$M$104,"Paid")</f>
        <v>0</v>
      </c>
    </row>
    <row r="13" spans="1:13">
      <c r="A13" s="17">
        <f t="shared" si="3"/>
        <v>46212</v>
      </c>
      <c r="B13" s="14">
        <f>SUMIFS(Orders!$K$5:$K$154,Orders!$B$5:$B$154,$A13,Orders!$Q$5:$Q$154,"Paid",Orders!$R$5:$R$154,"Completed")</f>
        <v>0</v>
      </c>
      <c r="C13" s="14">
        <f>SUMIFS(Orders!$L$5:$L$154,Orders!$B$5:$B$154,$A13,Orders!$Q$5:$Q$154,"Paid",Orders!$R$5:$R$154,"Completed")</f>
        <v>0</v>
      </c>
      <c r="D13" s="14">
        <f>SUMIFS(Orders!$M$5:$M$154,Orders!$B$5:$B$154,$A13,Orders!$Q$5:$Q$154,"Paid",Orders!$R$5:$R$154,"Completed")</f>
        <v>0</v>
      </c>
      <c r="E13" s="14">
        <f>SUMIFS(Orders!$O$5:$O$154,Orders!$B$5:$B$154,$A13,Orders!$Q$5:$Q$154,"Paid",Orders!$R$5:$R$154,"Completed")</f>
        <v>0</v>
      </c>
      <c r="F13" s="14">
        <f>SUMIFS(Expenses!$J$5:$J$104,Expenses!$B$5:$B$104,$A13,Expenses!$L$5:$L$104,"Operating Expense",Expenses!$M$5:$M$104,"Paid")</f>
        <v>0</v>
      </c>
      <c r="G13" s="9">
        <f t="shared" si="0"/>
        <v>0</v>
      </c>
      <c r="H13" s="9">
        <f t="shared" si="1"/>
        <v>0</v>
      </c>
      <c r="I13" s="18">
        <f>SUMIFS(Orders!$U$5:$U$154,Orders!$B$5:$B$154,$A13)</f>
        <v>0</v>
      </c>
      <c r="J13" s="18">
        <f>SUMIFS(Orders!$H$5:$H$154,Orders!$B$5:$B$154,$A13,Orders!$Q$5:$Q$154,"Paid",Orders!$R$5:$R$154,"Completed")</f>
        <v>0</v>
      </c>
      <c r="K13" s="14">
        <f>SUMIFS(Orders!$M$5:$M$154,Orders!$B$5:$B$154,$A13,Orders!$P$5:$P$154,"Cash",Orders!$Q$5:$Q$154,"Paid",Orders!$R$5:$R$154,"Completed")</f>
        <v>0</v>
      </c>
      <c r="L13" s="14">
        <f t="shared" si="2"/>
        <v>0</v>
      </c>
      <c r="M13" s="14">
        <f>SUMIFS(Expenses!$J$5:$J$104,Expenses!$B$5:$B$104,$A13,Expenses!$M$5:$M$104,"Paid")</f>
        <v>0</v>
      </c>
    </row>
    <row r="14" spans="1:13">
      <c r="A14" s="17">
        <f t="shared" si="3"/>
        <v>46213</v>
      </c>
      <c r="B14" s="14">
        <f>SUMIFS(Orders!$K$5:$K$154,Orders!$B$5:$B$154,$A14,Orders!$Q$5:$Q$154,"Paid",Orders!$R$5:$R$154,"Completed")</f>
        <v>0</v>
      </c>
      <c r="C14" s="14">
        <f>SUMIFS(Orders!$L$5:$L$154,Orders!$B$5:$B$154,$A14,Orders!$Q$5:$Q$154,"Paid",Orders!$R$5:$R$154,"Completed")</f>
        <v>0</v>
      </c>
      <c r="D14" s="14">
        <f>SUMIFS(Orders!$M$5:$M$154,Orders!$B$5:$B$154,$A14,Orders!$Q$5:$Q$154,"Paid",Orders!$R$5:$R$154,"Completed")</f>
        <v>0</v>
      </c>
      <c r="E14" s="14">
        <f>SUMIFS(Orders!$O$5:$O$154,Orders!$B$5:$B$154,$A14,Orders!$Q$5:$Q$154,"Paid",Orders!$R$5:$R$154,"Completed")</f>
        <v>0</v>
      </c>
      <c r="F14" s="14">
        <f>SUMIFS(Expenses!$J$5:$J$104,Expenses!$B$5:$B$104,$A14,Expenses!$L$5:$L$104,"Operating Expense",Expenses!$M$5:$M$104,"Paid")</f>
        <v>0</v>
      </c>
      <c r="G14" s="9">
        <f t="shared" si="0"/>
        <v>0</v>
      </c>
      <c r="H14" s="9">
        <f t="shared" si="1"/>
        <v>0</v>
      </c>
      <c r="I14" s="18">
        <f>SUMIFS(Orders!$U$5:$U$154,Orders!$B$5:$B$154,$A14)</f>
        <v>0</v>
      </c>
      <c r="J14" s="18">
        <f>SUMIFS(Orders!$H$5:$H$154,Orders!$B$5:$B$154,$A14,Orders!$Q$5:$Q$154,"Paid",Orders!$R$5:$R$154,"Completed")</f>
        <v>0</v>
      </c>
      <c r="K14" s="14">
        <f>SUMIFS(Orders!$M$5:$M$154,Orders!$B$5:$B$154,$A14,Orders!$P$5:$P$154,"Cash",Orders!$Q$5:$Q$154,"Paid",Orders!$R$5:$R$154,"Completed")</f>
        <v>0</v>
      </c>
      <c r="L14" s="14">
        <f t="shared" si="2"/>
        <v>0</v>
      </c>
      <c r="M14" s="14">
        <f>SUMIFS(Expenses!$J$5:$J$104,Expenses!$B$5:$B$104,$A14,Expenses!$M$5:$M$104,"Paid")</f>
        <v>0</v>
      </c>
    </row>
    <row r="15" spans="1:13">
      <c r="A15" s="17">
        <f t="shared" si="3"/>
        <v>46214</v>
      </c>
      <c r="B15" s="14">
        <f>SUMIFS(Orders!$K$5:$K$154,Orders!$B$5:$B$154,$A15,Orders!$Q$5:$Q$154,"Paid",Orders!$R$5:$R$154,"Completed")</f>
        <v>0</v>
      </c>
      <c r="C15" s="14">
        <f>SUMIFS(Orders!$L$5:$L$154,Orders!$B$5:$B$154,$A15,Orders!$Q$5:$Q$154,"Paid",Orders!$R$5:$R$154,"Completed")</f>
        <v>0</v>
      </c>
      <c r="D15" s="14">
        <f>SUMIFS(Orders!$M$5:$M$154,Orders!$B$5:$B$154,$A15,Orders!$Q$5:$Q$154,"Paid",Orders!$R$5:$R$154,"Completed")</f>
        <v>0</v>
      </c>
      <c r="E15" s="14">
        <f>SUMIFS(Orders!$O$5:$O$154,Orders!$B$5:$B$154,$A15,Orders!$Q$5:$Q$154,"Paid",Orders!$R$5:$R$154,"Completed")</f>
        <v>0</v>
      </c>
      <c r="F15" s="14">
        <f>SUMIFS(Expenses!$J$5:$J$104,Expenses!$B$5:$B$104,$A15,Expenses!$L$5:$L$104,"Operating Expense",Expenses!$M$5:$M$104,"Paid")</f>
        <v>0</v>
      </c>
      <c r="G15" s="9">
        <f t="shared" si="0"/>
        <v>0</v>
      </c>
      <c r="H15" s="9">
        <f t="shared" si="1"/>
        <v>0</v>
      </c>
      <c r="I15" s="18">
        <f>SUMIFS(Orders!$U$5:$U$154,Orders!$B$5:$B$154,$A15)</f>
        <v>0</v>
      </c>
      <c r="J15" s="18">
        <f>SUMIFS(Orders!$H$5:$H$154,Orders!$B$5:$B$154,$A15,Orders!$Q$5:$Q$154,"Paid",Orders!$R$5:$R$154,"Completed")</f>
        <v>0</v>
      </c>
      <c r="K15" s="14">
        <f>SUMIFS(Orders!$M$5:$M$154,Orders!$B$5:$B$154,$A15,Orders!$P$5:$P$154,"Cash",Orders!$Q$5:$Q$154,"Paid",Orders!$R$5:$R$154,"Completed")</f>
        <v>0</v>
      </c>
      <c r="L15" s="14">
        <f t="shared" si="2"/>
        <v>0</v>
      </c>
      <c r="M15" s="14">
        <f>SUMIFS(Expenses!$J$5:$J$104,Expenses!$B$5:$B$104,$A15,Expenses!$M$5:$M$104,"Paid")</f>
        <v>0</v>
      </c>
    </row>
    <row r="16" spans="1:13">
      <c r="A16" s="17">
        <f t="shared" si="3"/>
        <v>46215</v>
      </c>
      <c r="B16" s="14">
        <f>SUMIFS(Orders!$K$5:$K$154,Orders!$B$5:$B$154,$A16,Orders!$Q$5:$Q$154,"Paid",Orders!$R$5:$R$154,"Completed")</f>
        <v>0</v>
      </c>
      <c r="C16" s="14">
        <f>SUMIFS(Orders!$L$5:$L$154,Orders!$B$5:$B$154,$A16,Orders!$Q$5:$Q$154,"Paid",Orders!$R$5:$R$154,"Completed")</f>
        <v>0</v>
      </c>
      <c r="D16" s="14">
        <f>SUMIFS(Orders!$M$5:$M$154,Orders!$B$5:$B$154,$A16,Orders!$Q$5:$Q$154,"Paid",Orders!$R$5:$R$154,"Completed")</f>
        <v>0</v>
      </c>
      <c r="E16" s="14">
        <f>SUMIFS(Orders!$O$5:$O$154,Orders!$B$5:$B$154,$A16,Orders!$Q$5:$Q$154,"Paid",Orders!$R$5:$R$154,"Completed")</f>
        <v>0</v>
      </c>
      <c r="F16" s="14">
        <f>SUMIFS(Expenses!$J$5:$J$104,Expenses!$B$5:$B$104,$A16,Expenses!$L$5:$L$104,"Operating Expense",Expenses!$M$5:$M$104,"Paid")</f>
        <v>0</v>
      </c>
      <c r="G16" s="9">
        <f t="shared" si="0"/>
        <v>0</v>
      </c>
      <c r="H16" s="9">
        <f t="shared" si="1"/>
        <v>0</v>
      </c>
      <c r="I16" s="18">
        <f>SUMIFS(Orders!$U$5:$U$154,Orders!$B$5:$B$154,$A16)</f>
        <v>0</v>
      </c>
      <c r="J16" s="18">
        <f>SUMIFS(Orders!$H$5:$H$154,Orders!$B$5:$B$154,$A16,Orders!$Q$5:$Q$154,"Paid",Orders!$R$5:$R$154,"Completed")</f>
        <v>0</v>
      </c>
      <c r="K16" s="14">
        <f>SUMIFS(Orders!$M$5:$M$154,Orders!$B$5:$B$154,$A16,Orders!$P$5:$P$154,"Cash",Orders!$Q$5:$Q$154,"Paid",Orders!$R$5:$R$154,"Completed")</f>
        <v>0</v>
      </c>
      <c r="L16" s="14">
        <f t="shared" si="2"/>
        <v>0</v>
      </c>
      <c r="M16" s="14">
        <f>SUMIFS(Expenses!$J$5:$J$104,Expenses!$B$5:$B$104,$A16,Expenses!$M$5:$M$104,"Paid")</f>
        <v>0</v>
      </c>
    </row>
    <row r="17" spans="1:13">
      <c r="A17" s="17">
        <f t="shared" si="3"/>
        <v>46216</v>
      </c>
      <c r="B17" s="14">
        <f>SUMIFS(Orders!$K$5:$K$154,Orders!$B$5:$B$154,$A17,Orders!$Q$5:$Q$154,"Paid",Orders!$R$5:$R$154,"Completed")</f>
        <v>0</v>
      </c>
      <c r="C17" s="14">
        <f>SUMIFS(Orders!$L$5:$L$154,Orders!$B$5:$B$154,$A17,Orders!$Q$5:$Q$154,"Paid",Orders!$R$5:$R$154,"Completed")</f>
        <v>0</v>
      </c>
      <c r="D17" s="14">
        <f>SUMIFS(Orders!$M$5:$M$154,Orders!$B$5:$B$154,$A17,Orders!$Q$5:$Q$154,"Paid",Orders!$R$5:$R$154,"Completed")</f>
        <v>0</v>
      </c>
      <c r="E17" s="14">
        <f>SUMIFS(Orders!$O$5:$O$154,Orders!$B$5:$B$154,$A17,Orders!$Q$5:$Q$154,"Paid",Orders!$R$5:$R$154,"Completed")</f>
        <v>0</v>
      </c>
      <c r="F17" s="14">
        <f>SUMIFS(Expenses!$J$5:$J$104,Expenses!$B$5:$B$104,$A17,Expenses!$L$5:$L$104,"Operating Expense",Expenses!$M$5:$M$104,"Paid")</f>
        <v>0</v>
      </c>
      <c r="G17" s="9">
        <f t="shared" si="0"/>
        <v>0</v>
      </c>
      <c r="H17" s="9">
        <f t="shared" si="1"/>
        <v>0</v>
      </c>
      <c r="I17" s="18">
        <f>SUMIFS(Orders!$U$5:$U$154,Orders!$B$5:$B$154,$A17)</f>
        <v>0</v>
      </c>
      <c r="J17" s="18">
        <f>SUMIFS(Orders!$H$5:$H$154,Orders!$B$5:$B$154,$A17,Orders!$Q$5:$Q$154,"Paid",Orders!$R$5:$R$154,"Completed")</f>
        <v>0</v>
      </c>
      <c r="K17" s="14">
        <f>SUMIFS(Orders!$M$5:$M$154,Orders!$B$5:$B$154,$A17,Orders!$P$5:$P$154,"Cash",Orders!$Q$5:$Q$154,"Paid",Orders!$R$5:$R$154,"Completed")</f>
        <v>0</v>
      </c>
      <c r="L17" s="14">
        <f t="shared" si="2"/>
        <v>0</v>
      </c>
      <c r="M17" s="14">
        <f>SUMIFS(Expenses!$J$5:$J$104,Expenses!$B$5:$B$104,$A17,Expenses!$M$5:$M$104,"Paid")</f>
        <v>0</v>
      </c>
    </row>
    <row r="18" spans="1:13">
      <c r="A18" s="17">
        <f t="shared" si="3"/>
        <v>46217</v>
      </c>
      <c r="B18" s="14">
        <f>SUMIFS(Orders!$K$5:$K$154,Orders!$B$5:$B$154,$A18,Orders!$Q$5:$Q$154,"Paid",Orders!$R$5:$R$154,"Completed")</f>
        <v>0</v>
      </c>
      <c r="C18" s="14">
        <f>SUMIFS(Orders!$L$5:$L$154,Orders!$B$5:$B$154,$A18,Orders!$Q$5:$Q$154,"Paid",Orders!$R$5:$R$154,"Completed")</f>
        <v>0</v>
      </c>
      <c r="D18" s="14">
        <f>SUMIFS(Orders!$M$5:$M$154,Orders!$B$5:$B$154,$A18,Orders!$Q$5:$Q$154,"Paid",Orders!$R$5:$R$154,"Completed")</f>
        <v>0</v>
      </c>
      <c r="E18" s="14">
        <f>SUMIFS(Orders!$O$5:$O$154,Orders!$B$5:$B$154,$A18,Orders!$Q$5:$Q$154,"Paid",Orders!$R$5:$R$154,"Completed")</f>
        <v>0</v>
      </c>
      <c r="F18" s="14">
        <f>SUMIFS(Expenses!$J$5:$J$104,Expenses!$B$5:$B$104,$A18,Expenses!$L$5:$L$104,"Operating Expense",Expenses!$M$5:$M$104,"Paid")</f>
        <v>0</v>
      </c>
      <c r="G18" s="9">
        <f t="shared" si="0"/>
        <v>0</v>
      </c>
      <c r="H18" s="9">
        <f t="shared" si="1"/>
        <v>0</v>
      </c>
      <c r="I18" s="18">
        <f>SUMIFS(Orders!$U$5:$U$154,Orders!$B$5:$B$154,$A18)</f>
        <v>0</v>
      </c>
      <c r="J18" s="18">
        <f>SUMIFS(Orders!$H$5:$H$154,Orders!$B$5:$B$154,$A18,Orders!$Q$5:$Q$154,"Paid",Orders!$R$5:$R$154,"Completed")</f>
        <v>0</v>
      </c>
      <c r="K18" s="14">
        <f>SUMIFS(Orders!$M$5:$M$154,Orders!$B$5:$B$154,$A18,Orders!$P$5:$P$154,"Cash",Orders!$Q$5:$Q$154,"Paid",Orders!$R$5:$R$154,"Completed")</f>
        <v>0</v>
      </c>
      <c r="L18" s="14">
        <f t="shared" si="2"/>
        <v>0</v>
      </c>
      <c r="M18" s="14">
        <f>SUMIFS(Expenses!$J$5:$J$104,Expenses!$B$5:$B$104,$A18,Expenses!$M$5:$M$104,"Paid")</f>
        <v>0</v>
      </c>
    </row>
    <row r="19" spans="1:13">
      <c r="A19" s="17">
        <f t="shared" si="3"/>
        <v>46218</v>
      </c>
      <c r="B19" s="14">
        <f>SUMIFS(Orders!$K$5:$K$154,Orders!$B$5:$B$154,$A19,Orders!$Q$5:$Q$154,"Paid",Orders!$R$5:$R$154,"Completed")</f>
        <v>0</v>
      </c>
      <c r="C19" s="14">
        <f>SUMIFS(Orders!$L$5:$L$154,Orders!$B$5:$B$154,$A19,Orders!$Q$5:$Q$154,"Paid",Orders!$R$5:$R$154,"Completed")</f>
        <v>0</v>
      </c>
      <c r="D19" s="14">
        <f>SUMIFS(Orders!$M$5:$M$154,Orders!$B$5:$B$154,$A19,Orders!$Q$5:$Q$154,"Paid",Orders!$R$5:$R$154,"Completed")</f>
        <v>0</v>
      </c>
      <c r="E19" s="14">
        <f>SUMIFS(Orders!$O$5:$O$154,Orders!$B$5:$B$154,$A19,Orders!$Q$5:$Q$154,"Paid",Orders!$R$5:$R$154,"Completed")</f>
        <v>0</v>
      </c>
      <c r="F19" s="14">
        <f>SUMIFS(Expenses!$J$5:$J$104,Expenses!$B$5:$B$104,$A19,Expenses!$L$5:$L$104,"Operating Expense",Expenses!$M$5:$M$104,"Paid")</f>
        <v>0</v>
      </c>
      <c r="G19" s="9">
        <f t="shared" si="0"/>
        <v>0</v>
      </c>
      <c r="H19" s="9">
        <f t="shared" si="1"/>
        <v>0</v>
      </c>
      <c r="I19" s="18">
        <f>SUMIFS(Orders!$U$5:$U$154,Orders!$B$5:$B$154,$A19)</f>
        <v>0</v>
      </c>
      <c r="J19" s="18">
        <f>SUMIFS(Orders!$H$5:$H$154,Orders!$B$5:$B$154,$A19,Orders!$Q$5:$Q$154,"Paid",Orders!$R$5:$R$154,"Completed")</f>
        <v>0</v>
      </c>
      <c r="K19" s="14">
        <f>SUMIFS(Orders!$M$5:$M$154,Orders!$B$5:$B$154,$A19,Orders!$P$5:$P$154,"Cash",Orders!$Q$5:$Q$154,"Paid",Orders!$R$5:$R$154,"Completed")</f>
        <v>0</v>
      </c>
      <c r="L19" s="14">
        <f t="shared" si="2"/>
        <v>0</v>
      </c>
      <c r="M19" s="14">
        <f>SUMIFS(Expenses!$J$5:$J$104,Expenses!$B$5:$B$104,$A19,Expenses!$M$5:$M$104,"Paid")</f>
        <v>0</v>
      </c>
    </row>
    <row r="20" spans="1:13">
      <c r="A20" s="17">
        <f t="shared" si="3"/>
        <v>46219</v>
      </c>
      <c r="B20" s="14">
        <f>SUMIFS(Orders!$K$5:$K$154,Orders!$B$5:$B$154,$A20,Orders!$Q$5:$Q$154,"Paid",Orders!$R$5:$R$154,"Completed")</f>
        <v>0</v>
      </c>
      <c r="C20" s="14">
        <f>SUMIFS(Orders!$L$5:$L$154,Orders!$B$5:$B$154,$A20,Orders!$Q$5:$Q$154,"Paid",Orders!$R$5:$R$154,"Completed")</f>
        <v>0</v>
      </c>
      <c r="D20" s="14">
        <f>SUMIFS(Orders!$M$5:$M$154,Orders!$B$5:$B$154,$A20,Orders!$Q$5:$Q$154,"Paid",Orders!$R$5:$R$154,"Completed")</f>
        <v>0</v>
      </c>
      <c r="E20" s="14">
        <f>SUMIFS(Orders!$O$5:$O$154,Orders!$B$5:$B$154,$A20,Orders!$Q$5:$Q$154,"Paid",Orders!$R$5:$R$154,"Completed")</f>
        <v>0</v>
      </c>
      <c r="F20" s="14">
        <f>SUMIFS(Expenses!$J$5:$J$104,Expenses!$B$5:$B$104,$A20,Expenses!$L$5:$L$104,"Operating Expense",Expenses!$M$5:$M$104,"Paid")</f>
        <v>0</v>
      </c>
      <c r="G20" s="9">
        <f t="shared" si="0"/>
        <v>0</v>
      </c>
      <c r="H20" s="9">
        <f t="shared" si="1"/>
        <v>0</v>
      </c>
      <c r="I20" s="18">
        <f>SUMIFS(Orders!$U$5:$U$154,Orders!$B$5:$B$154,$A20)</f>
        <v>0</v>
      </c>
      <c r="J20" s="18">
        <f>SUMIFS(Orders!$H$5:$H$154,Orders!$B$5:$B$154,$A20,Orders!$Q$5:$Q$154,"Paid",Orders!$R$5:$R$154,"Completed")</f>
        <v>0</v>
      </c>
      <c r="K20" s="14">
        <f>SUMIFS(Orders!$M$5:$M$154,Orders!$B$5:$B$154,$A20,Orders!$P$5:$P$154,"Cash",Orders!$Q$5:$Q$154,"Paid",Orders!$R$5:$R$154,"Completed")</f>
        <v>0</v>
      </c>
      <c r="L20" s="14">
        <f t="shared" si="2"/>
        <v>0</v>
      </c>
      <c r="M20" s="14">
        <f>SUMIFS(Expenses!$J$5:$J$104,Expenses!$B$5:$B$104,$A20,Expenses!$M$5:$M$104,"Paid")</f>
        <v>0</v>
      </c>
    </row>
    <row r="21" spans="1:13">
      <c r="A21" s="17">
        <f t="shared" si="3"/>
        <v>46220</v>
      </c>
      <c r="B21" s="14">
        <f>SUMIFS(Orders!$K$5:$K$154,Orders!$B$5:$B$154,$A21,Orders!$Q$5:$Q$154,"Paid",Orders!$R$5:$R$154,"Completed")</f>
        <v>0</v>
      </c>
      <c r="C21" s="14">
        <f>SUMIFS(Orders!$L$5:$L$154,Orders!$B$5:$B$154,$A21,Orders!$Q$5:$Q$154,"Paid",Orders!$R$5:$R$154,"Completed")</f>
        <v>0</v>
      </c>
      <c r="D21" s="14">
        <f>SUMIFS(Orders!$M$5:$M$154,Orders!$B$5:$B$154,$A21,Orders!$Q$5:$Q$154,"Paid",Orders!$R$5:$R$154,"Completed")</f>
        <v>0</v>
      </c>
      <c r="E21" s="14">
        <f>SUMIFS(Orders!$O$5:$O$154,Orders!$B$5:$B$154,$A21,Orders!$Q$5:$Q$154,"Paid",Orders!$R$5:$R$154,"Completed")</f>
        <v>0</v>
      </c>
      <c r="F21" s="14">
        <f>SUMIFS(Expenses!$J$5:$J$104,Expenses!$B$5:$B$104,$A21,Expenses!$L$5:$L$104,"Operating Expense",Expenses!$M$5:$M$104,"Paid")</f>
        <v>0</v>
      </c>
      <c r="G21" s="9">
        <f t="shared" si="0"/>
        <v>0</v>
      </c>
      <c r="H21" s="9">
        <f t="shared" si="1"/>
        <v>0</v>
      </c>
      <c r="I21" s="18">
        <f>SUMIFS(Orders!$U$5:$U$154,Orders!$B$5:$B$154,$A21)</f>
        <v>0</v>
      </c>
      <c r="J21" s="18">
        <f>SUMIFS(Orders!$H$5:$H$154,Orders!$B$5:$B$154,$A21,Orders!$Q$5:$Q$154,"Paid",Orders!$R$5:$R$154,"Completed")</f>
        <v>0</v>
      </c>
      <c r="K21" s="14">
        <f>SUMIFS(Orders!$M$5:$M$154,Orders!$B$5:$B$154,$A21,Orders!$P$5:$P$154,"Cash",Orders!$Q$5:$Q$154,"Paid",Orders!$R$5:$R$154,"Completed")</f>
        <v>0</v>
      </c>
      <c r="L21" s="14">
        <f t="shared" si="2"/>
        <v>0</v>
      </c>
      <c r="M21" s="14">
        <f>SUMIFS(Expenses!$J$5:$J$104,Expenses!$B$5:$B$104,$A21,Expenses!$M$5:$M$104,"Paid")</f>
        <v>0</v>
      </c>
    </row>
    <row r="22" spans="1:13">
      <c r="A22" s="17">
        <f t="shared" si="3"/>
        <v>46221</v>
      </c>
      <c r="B22" s="14">
        <f>SUMIFS(Orders!$K$5:$K$154,Orders!$B$5:$B$154,$A22,Orders!$Q$5:$Q$154,"Paid",Orders!$R$5:$R$154,"Completed")</f>
        <v>0</v>
      </c>
      <c r="C22" s="14">
        <f>SUMIFS(Orders!$L$5:$L$154,Orders!$B$5:$B$154,$A22,Orders!$Q$5:$Q$154,"Paid",Orders!$R$5:$R$154,"Completed")</f>
        <v>0</v>
      </c>
      <c r="D22" s="14">
        <f>SUMIFS(Orders!$M$5:$M$154,Orders!$B$5:$B$154,$A22,Orders!$Q$5:$Q$154,"Paid",Orders!$R$5:$R$154,"Completed")</f>
        <v>0</v>
      </c>
      <c r="E22" s="14">
        <f>SUMIFS(Orders!$O$5:$O$154,Orders!$B$5:$B$154,$A22,Orders!$Q$5:$Q$154,"Paid",Orders!$R$5:$R$154,"Completed")</f>
        <v>0</v>
      </c>
      <c r="F22" s="14">
        <f>SUMIFS(Expenses!$J$5:$J$104,Expenses!$B$5:$B$104,$A22,Expenses!$L$5:$L$104,"Operating Expense",Expenses!$M$5:$M$104,"Paid")</f>
        <v>0</v>
      </c>
      <c r="G22" s="9">
        <f t="shared" si="0"/>
        <v>0</v>
      </c>
      <c r="H22" s="9">
        <f t="shared" si="1"/>
        <v>0</v>
      </c>
      <c r="I22" s="18">
        <f>SUMIFS(Orders!$U$5:$U$154,Orders!$B$5:$B$154,$A22)</f>
        <v>0</v>
      </c>
      <c r="J22" s="18">
        <f>SUMIFS(Orders!$H$5:$H$154,Orders!$B$5:$B$154,$A22,Orders!$Q$5:$Q$154,"Paid",Orders!$R$5:$R$154,"Completed")</f>
        <v>0</v>
      </c>
      <c r="K22" s="14">
        <f>SUMIFS(Orders!$M$5:$M$154,Orders!$B$5:$B$154,$A22,Orders!$P$5:$P$154,"Cash",Orders!$Q$5:$Q$154,"Paid",Orders!$R$5:$R$154,"Completed")</f>
        <v>0</v>
      </c>
      <c r="L22" s="14">
        <f t="shared" si="2"/>
        <v>0</v>
      </c>
      <c r="M22" s="14">
        <f>SUMIFS(Expenses!$J$5:$J$104,Expenses!$B$5:$B$104,$A22,Expenses!$M$5:$M$104,"Paid")</f>
        <v>0</v>
      </c>
    </row>
    <row r="23" spans="1:13">
      <c r="A23" s="17">
        <f t="shared" si="3"/>
        <v>46222</v>
      </c>
      <c r="B23" s="14">
        <f>SUMIFS(Orders!$K$5:$K$154,Orders!$B$5:$B$154,$A23,Orders!$Q$5:$Q$154,"Paid",Orders!$R$5:$R$154,"Completed")</f>
        <v>0</v>
      </c>
      <c r="C23" s="14">
        <f>SUMIFS(Orders!$L$5:$L$154,Orders!$B$5:$B$154,$A23,Orders!$Q$5:$Q$154,"Paid",Orders!$R$5:$R$154,"Completed")</f>
        <v>0</v>
      </c>
      <c r="D23" s="14">
        <f>SUMIFS(Orders!$M$5:$M$154,Orders!$B$5:$B$154,$A23,Orders!$Q$5:$Q$154,"Paid",Orders!$R$5:$R$154,"Completed")</f>
        <v>0</v>
      </c>
      <c r="E23" s="14">
        <f>SUMIFS(Orders!$O$5:$O$154,Orders!$B$5:$B$154,$A23,Orders!$Q$5:$Q$154,"Paid",Orders!$R$5:$R$154,"Completed")</f>
        <v>0</v>
      </c>
      <c r="F23" s="14">
        <f>SUMIFS(Expenses!$J$5:$J$104,Expenses!$B$5:$B$104,$A23,Expenses!$L$5:$L$104,"Operating Expense",Expenses!$M$5:$M$104,"Paid")</f>
        <v>0</v>
      </c>
      <c r="G23" s="9">
        <f t="shared" si="0"/>
        <v>0</v>
      </c>
      <c r="H23" s="9">
        <f t="shared" si="1"/>
        <v>0</v>
      </c>
      <c r="I23" s="18">
        <f>SUMIFS(Orders!$U$5:$U$154,Orders!$B$5:$B$154,$A23)</f>
        <v>0</v>
      </c>
      <c r="J23" s="18">
        <f>SUMIFS(Orders!$H$5:$H$154,Orders!$B$5:$B$154,$A23,Orders!$Q$5:$Q$154,"Paid",Orders!$R$5:$R$154,"Completed")</f>
        <v>0</v>
      </c>
      <c r="K23" s="14">
        <f>SUMIFS(Orders!$M$5:$M$154,Orders!$B$5:$B$154,$A23,Orders!$P$5:$P$154,"Cash",Orders!$Q$5:$Q$154,"Paid",Orders!$R$5:$R$154,"Completed")</f>
        <v>0</v>
      </c>
      <c r="L23" s="14">
        <f t="shared" si="2"/>
        <v>0</v>
      </c>
      <c r="M23" s="14">
        <f>SUMIFS(Expenses!$J$5:$J$104,Expenses!$B$5:$B$104,$A23,Expenses!$M$5:$M$104,"Paid")</f>
        <v>0</v>
      </c>
    </row>
    <row r="24" spans="1:13">
      <c r="A24" s="17">
        <f t="shared" si="3"/>
        <v>46223</v>
      </c>
      <c r="B24" s="14">
        <f>SUMIFS(Orders!$K$5:$K$154,Orders!$B$5:$B$154,$A24,Orders!$Q$5:$Q$154,"Paid",Orders!$R$5:$R$154,"Completed")</f>
        <v>0</v>
      </c>
      <c r="C24" s="14">
        <f>SUMIFS(Orders!$L$5:$L$154,Orders!$B$5:$B$154,$A24,Orders!$Q$5:$Q$154,"Paid",Orders!$R$5:$R$154,"Completed")</f>
        <v>0</v>
      </c>
      <c r="D24" s="14">
        <f>SUMIFS(Orders!$M$5:$M$154,Orders!$B$5:$B$154,$A24,Orders!$Q$5:$Q$154,"Paid",Orders!$R$5:$R$154,"Completed")</f>
        <v>0</v>
      </c>
      <c r="E24" s="14">
        <f>SUMIFS(Orders!$O$5:$O$154,Orders!$B$5:$B$154,$A24,Orders!$Q$5:$Q$154,"Paid",Orders!$R$5:$R$154,"Completed")</f>
        <v>0</v>
      </c>
      <c r="F24" s="14">
        <f>SUMIFS(Expenses!$J$5:$J$104,Expenses!$B$5:$B$104,$A24,Expenses!$L$5:$L$104,"Operating Expense",Expenses!$M$5:$M$104,"Paid")</f>
        <v>0</v>
      </c>
      <c r="G24" s="9">
        <f t="shared" si="0"/>
        <v>0</v>
      </c>
      <c r="H24" s="9">
        <f t="shared" si="1"/>
        <v>0</v>
      </c>
      <c r="I24" s="18">
        <f>SUMIFS(Orders!$U$5:$U$154,Orders!$B$5:$B$154,$A24)</f>
        <v>0</v>
      </c>
      <c r="J24" s="18">
        <f>SUMIFS(Orders!$H$5:$H$154,Orders!$B$5:$B$154,$A24,Orders!$Q$5:$Q$154,"Paid",Orders!$R$5:$R$154,"Completed")</f>
        <v>0</v>
      </c>
      <c r="K24" s="14">
        <f>SUMIFS(Orders!$M$5:$M$154,Orders!$B$5:$B$154,$A24,Orders!$P$5:$P$154,"Cash",Orders!$Q$5:$Q$154,"Paid",Orders!$R$5:$R$154,"Completed")</f>
        <v>0</v>
      </c>
      <c r="L24" s="14">
        <f t="shared" si="2"/>
        <v>0</v>
      </c>
      <c r="M24" s="14">
        <f>SUMIFS(Expenses!$J$5:$J$104,Expenses!$B$5:$B$104,$A24,Expenses!$M$5:$M$104,"Paid")</f>
        <v>0</v>
      </c>
    </row>
    <row r="25" spans="1:13">
      <c r="A25" s="17">
        <f t="shared" si="3"/>
        <v>46224</v>
      </c>
      <c r="B25" s="14">
        <f>SUMIFS(Orders!$K$5:$K$154,Orders!$B$5:$B$154,$A25,Orders!$Q$5:$Q$154,"Paid",Orders!$R$5:$R$154,"Completed")</f>
        <v>0</v>
      </c>
      <c r="C25" s="14">
        <f>SUMIFS(Orders!$L$5:$L$154,Orders!$B$5:$B$154,$A25,Orders!$Q$5:$Q$154,"Paid",Orders!$R$5:$R$154,"Completed")</f>
        <v>0</v>
      </c>
      <c r="D25" s="14">
        <f>SUMIFS(Orders!$M$5:$M$154,Orders!$B$5:$B$154,$A25,Orders!$Q$5:$Q$154,"Paid",Orders!$R$5:$R$154,"Completed")</f>
        <v>0</v>
      </c>
      <c r="E25" s="14">
        <f>SUMIFS(Orders!$O$5:$O$154,Orders!$B$5:$B$154,$A25,Orders!$Q$5:$Q$154,"Paid",Orders!$R$5:$R$154,"Completed")</f>
        <v>0</v>
      </c>
      <c r="F25" s="14">
        <f>SUMIFS(Expenses!$J$5:$J$104,Expenses!$B$5:$B$104,$A25,Expenses!$L$5:$L$104,"Operating Expense",Expenses!$M$5:$M$104,"Paid")</f>
        <v>0</v>
      </c>
      <c r="G25" s="9">
        <f t="shared" si="0"/>
        <v>0</v>
      </c>
      <c r="H25" s="9">
        <f t="shared" si="1"/>
        <v>0</v>
      </c>
      <c r="I25" s="18">
        <f>SUMIFS(Orders!$U$5:$U$154,Orders!$B$5:$B$154,$A25)</f>
        <v>0</v>
      </c>
      <c r="J25" s="18">
        <f>SUMIFS(Orders!$H$5:$H$154,Orders!$B$5:$B$154,$A25,Orders!$Q$5:$Q$154,"Paid",Orders!$R$5:$R$154,"Completed")</f>
        <v>0</v>
      </c>
      <c r="K25" s="14">
        <f>SUMIFS(Orders!$M$5:$M$154,Orders!$B$5:$B$154,$A25,Orders!$P$5:$P$154,"Cash",Orders!$Q$5:$Q$154,"Paid",Orders!$R$5:$R$154,"Completed")</f>
        <v>0</v>
      </c>
      <c r="L25" s="14">
        <f t="shared" si="2"/>
        <v>0</v>
      </c>
      <c r="M25" s="14">
        <f>SUMIFS(Expenses!$J$5:$J$104,Expenses!$B$5:$B$104,$A25,Expenses!$M$5:$M$104,"Paid")</f>
        <v>0</v>
      </c>
    </row>
    <row r="26" spans="1:13">
      <c r="A26" s="17">
        <f t="shared" si="3"/>
        <v>46225</v>
      </c>
      <c r="B26" s="14">
        <f>SUMIFS(Orders!$K$5:$K$154,Orders!$B$5:$B$154,$A26,Orders!$Q$5:$Q$154,"Paid",Orders!$R$5:$R$154,"Completed")</f>
        <v>0</v>
      </c>
      <c r="C26" s="14">
        <f>SUMIFS(Orders!$L$5:$L$154,Orders!$B$5:$B$154,$A26,Orders!$Q$5:$Q$154,"Paid",Orders!$R$5:$R$154,"Completed")</f>
        <v>0</v>
      </c>
      <c r="D26" s="14">
        <f>SUMIFS(Orders!$M$5:$M$154,Orders!$B$5:$B$154,$A26,Orders!$Q$5:$Q$154,"Paid",Orders!$R$5:$R$154,"Completed")</f>
        <v>0</v>
      </c>
      <c r="E26" s="14">
        <f>SUMIFS(Orders!$O$5:$O$154,Orders!$B$5:$B$154,$A26,Orders!$Q$5:$Q$154,"Paid",Orders!$R$5:$R$154,"Completed")</f>
        <v>0</v>
      </c>
      <c r="F26" s="14">
        <f>SUMIFS(Expenses!$J$5:$J$104,Expenses!$B$5:$B$104,$A26,Expenses!$L$5:$L$104,"Operating Expense",Expenses!$M$5:$M$104,"Paid")</f>
        <v>0</v>
      </c>
      <c r="G26" s="9">
        <f t="shared" si="0"/>
        <v>0</v>
      </c>
      <c r="H26" s="9">
        <f t="shared" si="1"/>
        <v>0</v>
      </c>
      <c r="I26" s="18">
        <f>SUMIFS(Orders!$U$5:$U$154,Orders!$B$5:$B$154,$A26)</f>
        <v>0</v>
      </c>
      <c r="J26" s="18">
        <f>SUMIFS(Orders!$H$5:$H$154,Orders!$B$5:$B$154,$A26,Orders!$Q$5:$Q$154,"Paid",Orders!$R$5:$R$154,"Completed")</f>
        <v>0</v>
      </c>
      <c r="K26" s="14">
        <f>SUMIFS(Orders!$M$5:$M$154,Orders!$B$5:$B$154,$A26,Orders!$P$5:$P$154,"Cash",Orders!$Q$5:$Q$154,"Paid",Orders!$R$5:$R$154,"Completed")</f>
        <v>0</v>
      </c>
      <c r="L26" s="14">
        <f t="shared" si="2"/>
        <v>0</v>
      </c>
      <c r="M26" s="14">
        <f>SUMIFS(Expenses!$J$5:$J$104,Expenses!$B$5:$B$104,$A26,Expenses!$M$5:$M$104,"Paid")</f>
        <v>0</v>
      </c>
    </row>
    <row r="27" spans="1:13">
      <c r="A27" s="17">
        <f t="shared" si="3"/>
        <v>46226</v>
      </c>
      <c r="B27" s="14">
        <f>SUMIFS(Orders!$K$5:$K$154,Orders!$B$5:$B$154,$A27,Orders!$Q$5:$Q$154,"Paid",Orders!$R$5:$R$154,"Completed")</f>
        <v>0</v>
      </c>
      <c r="C27" s="14">
        <f>SUMIFS(Orders!$L$5:$L$154,Orders!$B$5:$B$154,$A27,Orders!$Q$5:$Q$154,"Paid",Orders!$R$5:$R$154,"Completed")</f>
        <v>0</v>
      </c>
      <c r="D27" s="14">
        <f>SUMIFS(Orders!$M$5:$M$154,Orders!$B$5:$B$154,$A27,Orders!$Q$5:$Q$154,"Paid",Orders!$R$5:$R$154,"Completed")</f>
        <v>0</v>
      </c>
      <c r="E27" s="14">
        <f>SUMIFS(Orders!$O$5:$O$154,Orders!$B$5:$B$154,$A27,Orders!$Q$5:$Q$154,"Paid",Orders!$R$5:$R$154,"Completed")</f>
        <v>0</v>
      </c>
      <c r="F27" s="14">
        <f>SUMIFS(Expenses!$J$5:$J$104,Expenses!$B$5:$B$104,$A27,Expenses!$L$5:$L$104,"Operating Expense",Expenses!$M$5:$M$104,"Paid")</f>
        <v>0</v>
      </c>
      <c r="G27" s="9">
        <f t="shared" si="0"/>
        <v>0</v>
      </c>
      <c r="H27" s="9">
        <f t="shared" si="1"/>
        <v>0</v>
      </c>
      <c r="I27" s="18">
        <f>SUMIFS(Orders!$U$5:$U$154,Orders!$B$5:$B$154,$A27)</f>
        <v>0</v>
      </c>
      <c r="J27" s="18">
        <f>SUMIFS(Orders!$H$5:$H$154,Orders!$B$5:$B$154,$A27,Orders!$Q$5:$Q$154,"Paid",Orders!$R$5:$R$154,"Completed")</f>
        <v>0</v>
      </c>
      <c r="K27" s="14">
        <f>SUMIFS(Orders!$M$5:$M$154,Orders!$B$5:$B$154,$A27,Orders!$P$5:$P$154,"Cash",Orders!$Q$5:$Q$154,"Paid",Orders!$R$5:$R$154,"Completed")</f>
        <v>0</v>
      </c>
      <c r="L27" s="14">
        <f t="shared" si="2"/>
        <v>0</v>
      </c>
      <c r="M27" s="14">
        <f>SUMIFS(Expenses!$J$5:$J$104,Expenses!$B$5:$B$104,$A27,Expenses!$M$5:$M$104,"Paid")</f>
        <v>0</v>
      </c>
    </row>
    <row r="28" spans="1:13">
      <c r="A28" s="17">
        <f t="shared" si="3"/>
        <v>46227</v>
      </c>
      <c r="B28" s="14">
        <f>SUMIFS(Orders!$K$5:$K$154,Orders!$B$5:$B$154,$A28,Orders!$Q$5:$Q$154,"Paid",Orders!$R$5:$R$154,"Completed")</f>
        <v>0</v>
      </c>
      <c r="C28" s="14">
        <f>SUMIFS(Orders!$L$5:$L$154,Orders!$B$5:$B$154,$A28,Orders!$Q$5:$Q$154,"Paid",Orders!$R$5:$R$154,"Completed")</f>
        <v>0</v>
      </c>
      <c r="D28" s="14">
        <f>SUMIFS(Orders!$M$5:$M$154,Orders!$B$5:$B$154,$A28,Orders!$Q$5:$Q$154,"Paid",Orders!$R$5:$R$154,"Completed")</f>
        <v>0</v>
      </c>
      <c r="E28" s="14">
        <f>SUMIFS(Orders!$O$5:$O$154,Orders!$B$5:$B$154,$A28,Orders!$Q$5:$Q$154,"Paid",Orders!$R$5:$R$154,"Completed")</f>
        <v>0</v>
      </c>
      <c r="F28" s="14">
        <f>SUMIFS(Expenses!$J$5:$J$104,Expenses!$B$5:$B$104,$A28,Expenses!$L$5:$L$104,"Operating Expense",Expenses!$M$5:$M$104,"Paid")</f>
        <v>0</v>
      </c>
      <c r="G28" s="9">
        <f t="shared" si="0"/>
        <v>0</v>
      </c>
      <c r="H28" s="9">
        <f t="shared" si="1"/>
        <v>0</v>
      </c>
      <c r="I28" s="18">
        <f>SUMIFS(Orders!$U$5:$U$154,Orders!$B$5:$B$154,$A28)</f>
        <v>0</v>
      </c>
      <c r="J28" s="18">
        <f>SUMIFS(Orders!$H$5:$H$154,Orders!$B$5:$B$154,$A28,Orders!$Q$5:$Q$154,"Paid",Orders!$R$5:$R$154,"Completed")</f>
        <v>0</v>
      </c>
      <c r="K28" s="14">
        <f>SUMIFS(Orders!$M$5:$M$154,Orders!$B$5:$B$154,$A28,Orders!$P$5:$P$154,"Cash",Orders!$Q$5:$Q$154,"Paid",Orders!$R$5:$R$154,"Completed")</f>
        <v>0</v>
      </c>
      <c r="L28" s="14">
        <f t="shared" si="2"/>
        <v>0</v>
      </c>
      <c r="M28" s="14">
        <f>SUMIFS(Expenses!$J$5:$J$104,Expenses!$B$5:$B$104,$A28,Expenses!$M$5:$M$104,"Paid")</f>
        <v>0</v>
      </c>
    </row>
    <row r="29" spans="1:13">
      <c r="A29" s="17">
        <f t="shared" si="3"/>
        <v>46228</v>
      </c>
      <c r="B29" s="14">
        <f>SUMIFS(Orders!$K$5:$K$154,Orders!$B$5:$B$154,$A29,Orders!$Q$5:$Q$154,"Paid",Orders!$R$5:$R$154,"Completed")</f>
        <v>0</v>
      </c>
      <c r="C29" s="14">
        <f>SUMIFS(Orders!$L$5:$L$154,Orders!$B$5:$B$154,$A29,Orders!$Q$5:$Q$154,"Paid",Orders!$R$5:$R$154,"Completed")</f>
        <v>0</v>
      </c>
      <c r="D29" s="14">
        <f>SUMIFS(Orders!$M$5:$M$154,Orders!$B$5:$B$154,$A29,Orders!$Q$5:$Q$154,"Paid",Orders!$R$5:$R$154,"Completed")</f>
        <v>0</v>
      </c>
      <c r="E29" s="14">
        <f>SUMIFS(Orders!$O$5:$O$154,Orders!$B$5:$B$154,$A29,Orders!$Q$5:$Q$154,"Paid",Orders!$R$5:$R$154,"Completed")</f>
        <v>0</v>
      </c>
      <c r="F29" s="14">
        <f>SUMIFS(Expenses!$J$5:$J$104,Expenses!$B$5:$B$104,$A29,Expenses!$L$5:$L$104,"Operating Expense",Expenses!$M$5:$M$104,"Paid")</f>
        <v>0</v>
      </c>
      <c r="G29" s="9">
        <f t="shared" si="0"/>
        <v>0</v>
      </c>
      <c r="H29" s="9">
        <f t="shared" si="1"/>
        <v>0</v>
      </c>
      <c r="I29" s="18">
        <f>SUMIFS(Orders!$U$5:$U$154,Orders!$B$5:$B$154,$A29)</f>
        <v>0</v>
      </c>
      <c r="J29" s="18">
        <f>SUMIFS(Orders!$H$5:$H$154,Orders!$B$5:$B$154,$A29,Orders!$Q$5:$Q$154,"Paid",Orders!$R$5:$R$154,"Completed")</f>
        <v>0</v>
      </c>
      <c r="K29" s="14">
        <f>SUMIFS(Orders!$M$5:$M$154,Orders!$B$5:$B$154,$A29,Orders!$P$5:$P$154,"Cash",Orders!$Q$5:$Q$154,"Paid",Orders!$R$5:$R$154,"Completed")</f>
        <v>0</v>
      </c>
      <c r="L29" s="14">
        <f t="shared" si="2"/>
        <v>0</v>
      </c>
      <c r="M29" s="14">
        <f>SUMIFS(Expenses!$J$5:$J$104,Expenses!$B$5:$B$104,$A29,Expenses!$M$5:$M$104,"Paid")</f>
        <v>0</v>
      </c>
    </row>
    <row r="30" spans="1:13">
      <c r="A30" s="17">
        <f t="shared" si="3"/>
        <v>46229</v>
      </c>
      <c r="B30" s="14">
        <f>SUMIFS(Orders!$K$5:$K$154,Orders!$B$5:$B$154,$A30,Orders!$Q$5:$Q$154,"Paid",Orders!$R$5:$R$154,"Completed")</f>
        <v>0</v>
      </c>
      <c r="C30" s="14">
        <f>SUMIFS(Orders!$L$5:$L$154,Orders!$B$5:$B$154,$A30,Orders!$Q$5:$Q$154,"Paid",Orders!$R$5:$R$154,"Completed")</f>
        <v>0</v>
      </c>
      <c r="D30" s="14">
        <f>SUMIFS(Orders!$M$5:$M$154,Orders!$B$5:$B$154,$A30,Orders!$Q$5:$Q$154,"Paid",Orders!$R$5:$R$154,"Completed")</f>
        <v>0</v>
      </c>
      <c r="E30" s="14">
        <f>SUMIFS(Orders!$O$5:$O$154,Orders!$B$5:$B$154,$A30,Orders!$Q$5:$Q$154,"Paid",Orders!$R$5:$R$154,"Completed")</f>
        <v>0</v>
      </c>
      <c r="F30" s="14">
        <f>SUMIFS(Expenses!$J$5:$J$104,Expenses!$B$5:$B$104,$A30,Expenses!$L$5:$L$104,"Operating Expense",Expenses!$M$5:$M$104,"Paid")</f>
        <v>0</v>
      </c>
      <c r="G30" s="9">
        <f t="shared" si="0"/>
        <v>0</v>
      </c>
      <c r="H30" s="9">
        <f t="shared" si="1"/>
        <v>0</v>
      </c>
      <c r="I30" s="18">
        <f>SUMIFS(Orders!$U$5:$U$154,Orders!$B$5:$B$154,$A30)</f>
        <v>0</v>
      </c>
      <c r="J30" s="18">
        <f>SUMIFS(Orders!$H$5:$H$154,Orders!$B$5:$B$154,$A30,Orders!$Q$5:$Q$154,"Paid",Orders!$R$5:$R$154,"Completed")</f>
        <v>0</v>
      </c>
      <c r="K30" s="14">
        <f>SUMIFS(Orders!$M$5:$M$154,Orders!$B$5:$B$154,$A30,Orders!$P$5:$P$154,"Cash",Orders!$Q$5:$Q$154,"Paid",Orders!$R$5:$R$154,"Completed")</f>
        <v>0</v>
      </c>
      <c r="L30" s="14">
        <f t="shared" si="2"/>
        <v>0</v>
      </c>
      <c r="M30" s="14">
        <f>SUMIFS(Expenses!$J$5:$J$104,Expenses!$B$5:$B$104,$A30,Expenses!$M$5:$M$104,"Paid")</f>
        <v>0</v>
      </c>
    </row>
    <row r="31" spans="1:13">
      <c r="A31" s="17">
        <f t="shared" si="3"/>
        <v>46230</v>
      </c>
      <c r="B31" s="14">
        <f>SUMIFS(Orders!$K$5:$K$154,Orders!$B$5:$B$154,$A31,Orders!$Q$5:$Q$154,"Paid",Orders!$R$5:$R$154,"Completed")</f>
        <v>0</v>
      </c>
      <c r="C31" s="14">
        <f>SUMIFS(Orders!$L$5:$L$154,Orders!$B$5:$B$154,$A31,Orders!$Q$5:$Q$154,"Paid",Orders!$R$5:$R$154,"Completed")</f>
        <v>0</v>
      </c>
      <c r="D31" s="14">
        <f>SUMIFS(Orders!$M$5:$M$154,Orders!$B$5:$B$154,$A31,Orders!$Q$5:$Q$154,"Paid",Orders!$R$5:$R$154,"Completed")</f>
        <v>0</v>
      </c>
      <c r="E31" s="14">
        <f>SUMIFS(Orders!$O$5:$O$154,Orders!$B$5:$B$154,$A31,Orders!$Q$5:$Q$154,"Paid",Orders!$R$5:$R$154,"Completed")</f>
        <v>0</v>
      </c>
      <c r="F31" s="14">
        <f>SUMIFS(Expenses!$J$5:$J$104,Expenses!$B$5:$B$104,$A31,Expenses!$L$5:$L$104,"Operating Expense",Expenses!$M$5:$M$104,"Paid")</f>
        <v>0</v>
      </c>
      <c r="G31" s="9">
        <f t="shared" si="0"/>
        <v>0</v>
      </c>
      <c r="H31" s="9">
        <f t="shared" si="1"/>
        <v>0</v>
      </c>
      <c r="I31" s="18">
        <f>SUMIFS(Orders!$U$5:$U$154,Orders!$B$5:$B$154,$A31)</f>
        <v>0</v>
      </c>
      <c r="J31" s="18">
        <f>SUMIFS(Orders!$H$5:$H$154,Orders!$B$5:$B$154,$A31,Orders!$Q$5:$Q$154,"Paid",Orders!$R$5:$R$154,"Completed")</f>
        <v>0</v>
      </c>
      <c r="K31" s="14">
        <f>SUMIFS(Orders!$M$5:$M$154,Orders!$B$5:$B$154,$A31,Orders!$P$5:$P$154,"Cash",Orders!$Q$5:$Q$154,"Paid",Orders!$R$5:$R$154,"Completed")</f>
        <v>0</v>
      </c>
      <c r="L31" s="14">
        <f t="shared" si="2"/>
        <v>0</v>
      </c>
      <c r="M31" s="14">
        <f>SUMIFS(Expenses!$J$5:$J$104,Expenses!$B$5:$B$104,$A31,Expenses!$M$5:$M$104,"Paid")</f>
        <v>0</v>
      </c>
    </row>
    <row r="32" spans="1:13">
      <c r="A32" s="17">
        <f t="shared" si="3"/>
        <v>46231</v>
      </c>
      <c r="B32" s="14">
        <f>SUMIFS(Orders!$K$5:$K$154,Orders!$B$5:$B$154,$A32,Orders!$Q$5:$Q$154,"Paid",Orders!$R$5:$R$154,"Completed")</f>
        <v>0</v>
      </c>
      <c r="C32" s="14">
        <f>SUMIFS(Orders!$L$5:$L$154,Orders!$B$5:$B$154,$A32,Orders!$Q$5:$Q$154,"Paid",Orders!$R$5:$R$154,"Completed")</f>
        <v>0</v>
      </c>
      <c r="D32" s="14">
        <f>SUMIFS(Orders!$M$5:$M$154,Orders!$B$5:$B$154,$A32,Orders!$Q$5:$Q$154,"Paid",Orders!$R$5:$R$154,"Completed")</f>
        <v>0</v>
      </c>
      <c r="E32" s="14">
        <f>SUMIFS(Orders!$O$5:$O$154,Orders!$B$5:$B$154,$A32,Orders!$Q$5:$Q$154,"Paid",Orders!$R$5:$R$154,"Completed")</f>
        <v>0</v>
      </c>
      <c r="F32" s="14">
        <f>SUMIFS(Expenses!$J$5:$J$104,Expenses!$B$5:$B$104,$A32,Expenses!$L$5:$L$104,"Operating Expense",Expenses!$M$5:$M$104,"Paid")</f>
        <v>0</v>
      </c>
      <c r="G32" s="9">
        <f t="shared" si="0"/>
        <v>0</v>
      </c>
      <c r="H32" s="9">
        <f t="shared" si="1"/>
        <v>0</v>
      </c>
      <c r="I32" s="18">
        <f>SUMIFS(Orders!$U$5:$U$154,Orders!$B$5:$B$154,$A32)</f>
        <v>0</v>
      </c>
      <c r="J32" s="18">
        <f>SUMIFS(Orders!$H$5:$H$154,Orders!$B$5:$B$154,$A32,Orders!$Q$5:$Q$154,"Paid",Orders!$R$5:$R$154,"Completed")</f>
        <v>0</v>
      </c>
      <c r="K32" s="14">
        <f>SUMIFS(Orders!$M$5:$M$154,Orders!$B$5:$B$154,$A32,Orders!$P$5:$P$154,"Cash",Orders!$Q$5:$Q$154,"Paid",Orders!$R$5:$R$154,"Completed")</f>
        <v>0</v>
      </c>
      <c r="L32" s="14">
        <f t="shared" si="2"/>
        <v>0</v>
      </c>
      <c r="M32" s="14">
        <f>SUMIFS(Expenses!$J$5:$J$104,Expenses!$B$5:$B$104,$A32,Expenses!$M$5:$M$104,"Paid")</f>
        <v>0</v>
      </c>
    </row>
    <row r="33" spans="1:13">
      <c r="A33" s="17">
        <f t="shared" si="3"/>
        <v>46232</v>
      </c>
      <c r="B33" s="14">
        <f>SUMIFS(Orders!$K$5:$K$154,Orders!$B$5:$B$154,$A33,Orders!$Q$5:$Q$154,"Paid",Orders!$R$5:$R$154,"Completed")</f>
        <v>0</v>
      </c>
      <c r="C33" s="14">
        <f>SUMIFS(Orders!$L$5:$L$154,Orders!$B$5:$B$154,$A33,Orders!$Q$5:$Q$154,"Paid",Orders!$R$5:$R$154,"Completed")</f>
        <v>0</v>
      </c>
      <c r="D33" s="14">
        <f>SUMIFS(Orders!$M$5:$M$154,Orders!$B$5:$B$154,$A33,Orders!$Q$5:$Q$154,"Paid",Orders!$R$5:$R$154,"Completed")</f>
        <v>0</v>
      </c>
      <c r="E33" s="14">
        <f>SUMIFS(Orders!$O$5:$O$154,Orders!$B$5:$B$154,$A33,Orders!$Q$5:$Q$154,"Paid",Orders!$R$5:$R$154,"Completed")</f>
        <v>0</v>
      </c>
      <c r="F33" s="14">
        <f>SUMIFS(Expenses!$J$5:$J$104,Expenses!$B$5:$B$104,$A33,Expenses!$L$5:$L$104,"Operating Expense",Expenses!$M$5:$M$104,"Paid")</f>
        <v>0</v>
      </c>
      <c r="G33" s="9">
        <f t="shared" si="0"/>
        <v>0</v>
      </c>
      <c r="H33" s="9">
        <f t="shared" si="1"/>
        <v>0</v>
      </c>
      <c r="I33" s="18">
        <f>SUMIFS(Orders!$U$5:$U$154,Orders!$B$5:$B$154,$A33)</f>
        <v>0</v>
      </c>
      <c r="J33" s="18">
        <f>SUMIFS(Orders!$H$5:$H$154,Orders!$B$5:$B$154,$A33,Orders!$Q$5:$Q$154,"Paid",Orders!$R$5:$R$154,"Completed")</f>
        <v>0</v>
      </c>
      <c r="K33" s="14">
        <f>SUMIFS(Orders!$M$5:$M$154,Orders!$B$5:$B$154,$A33,Orders!$P$5:$P$154,"Cash",Orders!$Q$5:$Q$154,"Paid",Orders!$R$5:$R$154,"Completed")</f>
        <v>0</v>
      </c>
      <c r="L33" s="14">
        <f t="shared" si="2"/>
        <v>0</v>
      </c>
      <c r="M33" s="14">
        <f>SUMIFS(Expenses!$J$5:$J$104,Expenses!$B$5:$B$104,$A33,Expenses!$M$5:$M$104,"Paid")</f>
        <v>0</v>
      </c>
    </row>
    <row r="34" spans="1:13">
      <c r="A34" s="17">
        <f t="shared" si="3"/>
        <v>46233</v>
      </c>
      <c r="B34" s="14">
        <f>SUMIFS(Orders!$K$5:$K$154,Orders!$B$5:$B$154,$A34,Orders!$Q$5:$Q$154,"Paid",Orders!$R$5:$R$154,"Completed")</f>
        <v>0</v>
      </c>
      <c r="C34" s="14">
        <f>SUMIFS(Orders!$L$5:$L$154,Orders!$B$5:$B$154,$A34,Orders!$Q$5:$Q$154,"Paid",Orders!$R$5:$R$154,"Completed")</f>
        <v>0</v>
      </c>
      <c r="D34" s="14">
        <f>SUMIFS(Orders!$M$5:$M$154,Orders!$B$5:$B$154,$A34,Orders!$Q$5:$Q$154,"Paid",Orders!$R$5:$R$154,"Completed")</f>
        <v>0</v>
      </c>
      <c r="E34" s="14">
        <f>SUMIFS(Orders!$O$5:$O$154,Orders!$B$5:$B$154,$A34,Orders!$Q$5:$Q$154,"Paid",Orders!$R$5:$R$154,"Completed")</f>
        <v>0</v>
      </c>
      <c r="F34" s="14">
        <f>SUMIFS(Expenses!$J$5:$J$104,Expenses!$B$5:$B$104,$A34,Expenses!$L$5:$L$104,"Operating Expense",Expenses!$M$5:$M$104,"Paid")</f>
        <v>0</v>
      </c>
      <c r="G34" s="9">
        <f t="shared" si="0"/>
        <v>0</v>
      </c>
      <c r="H34" s="9">
        <f t="shared" si="1"/>
        <v>0</v>
      </c>
      <c r="I34" s="18">
        <f>SUMIFS(Orders!$U$5:$U$154,Orders!$B$5:$B$154,$A34)</f>
        <v>0</v>
      </c>
      <c r="J34" s="18">
        <f>SUMIFS(Orders!$H$5:$H$154,Orders!$B$5:$B$154,$A34,Orders!$Q$5:$Q$154,"Paid",Orders!$R$5:$R$154,"Completed")</f>
        <v>0</v>
      </c>
      <c r="K34" s="14">
        <f>SUMIFS(Orders!$M$5:$M$154,Orders!$B$5:$B$154,$A34,Orders!$P$5:$P$154,"Cash",Orders!$Q$5:$Q$154,"Paid",Orders!$R$5:$R$154,"Completed")</f>
        <v>0</v>
      </c>
      <c r="L34" s="14">
        <f t="shared" si="2"/>
        <v>0</v>
      </c>
      <c r="M34" s="14">
        <f>SUMIFS(Expenses!$J$5:$J$104,Expenses!$B$5:$B$104,$A34,Expenses!$M$5:$M$104,"Paid")</f>
        <v>0</v>
      </c>
    </row>
    <row r="35" spans="1:13">
      <c r="A35" s="17">
        <f t="shared" si="3"/>
        <v>46234</v>
      </c>
      <c r="B35" s="14">
        <f>SUMIFS(Orders!$K$5:$K$154,Orders!$B$5:$B$154,$A35,Orders!$Q$5:$Q$154,"Paid",Orders!$R$5:$R$154,"Completed")</f>
        <v>0</v>
      </c>
      <c r="C35" s="14">
        <f>SUMIFS(Orders!$L$5:$L$154,Orders!$B$5:$B$154,$A35,Orders!$Q$5:$Q$154,"Paid",Orders!$R$5:$R$154,"Completed")</f>
        <v>0</v>
      </c>
      <c r="D35" s="14">
        <f>SUMIFS(Orders!$M$5:$M$154,Orders!$B$5:$B$154,$A35,Orders!$Q$5:$Q$154,"Paid",Orders!$R$5:$R$154,"Completed")</f>
        <v>0</v>
      </c>
      <c r="E35" s="14">
        <f>SUMIFS(Orders!$O$5:$O$154,Orders!$B$5:$B$154,$A35,Orders!$Q$5:$Q$154,"Paid",Orders!$R$5:$R$154,"Completed")</f>
        <v>0</v>
      </c>
      <c r="F35" s="14">
        <f>SUMIFS(Expenses!$J$5:$J$104,Expenses!$B$5:$B$104,$A35,Expenses!$L$5:$L$104,"Operating Expense",Expenses!$M$5:$M$104,"Paid")</f>
        <v>0</v>
      </c>
      <c r="G35" s="9">
        <f t="shared" si="0"/>
        <v>0</v>
      </c>
      <c r="H35" s="9">
        <f t="shared" si="1"/>
        <v>0</v>
      </c>
      <c r="I35" s="18">
        <f>SUMIFS(Orders!$U$5:$U$154,Orders!$B$5:$B$154,$A35)</f>
        <v>0</v>
      </c>
      <c r="J35" s="18">
        <f>SUMIFS(Orders!$H$5:$H$154,Orders!$B$5:$B$154,$A35,Orders!$Q$5:$Q$154,"Paid",Orders!$R$5:$R$154,"Completed")</f>
        <v>0</v>
      </c>
      <c r="K35" s="14">
        <f>SUMIFS(Orders!$M$5:$M$154,Orders!$B$5:$B$154,$A35,Orders!$P$5:$P$154,"Cash",Orders!$Q$5:$Q$154,"Paid",Orders!$R$5:$R$154,"Completed")</f>
        <v>0</v>
      </c>
      <c r="L35" s="14">
        <f t="shared" si="2"/>
        <v>0</v>
      </c>
      <c r="M35" s="14">
        <f>SUMIFS(Expenses!$J$5:$J$104,Expenses!$B$5:$B$104,$A35,Expenses!$M$5:$M$104,"Paid")</f>
        <v>0</v>
      </c>
    </row>
    <row r="36" spans="1:13">
      <c r="A36" s="17">
        <f t="shared" si="3"/>
        <v>46235</v>
      </c>
      <c r="B36" s="14">
        <f>SUMIFS(Orders!$K$5:$K$154,Orders!$B$5:$B$154,$A36,Orders!$Q$5:$Q$154,"Paid",Orders!$R$5:$R$154,"Completed")</f>
        <v>0</v>
      </c>
      <c r="C36" s="14">
        <f>SUMIFS(Orders!$L$5:$L$154,Orders!$B$5:$B$154,$A36,Orders!$Q$5:$Q$154,"Paid",Orders!$R$5:$R$154,"Completed")</f>
        <v>0</v>
      </c>
      <c r="D36" s="14">
        <f>SUMIFS(Orders!$M$5:$M$154,Orders!$B$5:$B$154,$A36,Orders!$Q$5:$Q$154,"Paid",Orders!$R$5:$R$154,"Completed")</f>
        <v>0</v>
      </c>
      <c r="E36" s="14">
        <f>SUMIFS(Orders!$O$5:$O$154,Orders!$B$5:$B$154,$A36,Orders!$Q$5:$Q$154,"Paid",Orders!$R$5:$R$154,"Completed")</f>
        <v>0</v>
      </c>
      <c r="F36" s="14">
        <f>SUMIFS(Expenses!$J$5:$J$104,Expenses!$B$5:$B$104,$A36,Expenses!$L$5:$L$104,"Operating Expense",Expenses!$M$5:$M$104,"Paid")</f>
        <v>0</v>
      </c>
      <c r="G36" s="9">
        <f t="shared" si="0"/>
        <v>0</v>
      </c>
      <c r="H36" s="9">
        <f t="shared" si="1"/>
        <v>0</v>
      </c>
      <c r="I36" s="18">
        <f>SUMIFS(Orders!$U$5:$U$154,Orders!$B$5:$B$154,$A36)</f>
        <v>0</v>
      </c>
      <c r="J36" s="18">
        <f>SUMIFS(Orders!$H$5:$H$154,Orders!$B$5:$B$154,$A36,Orders!$Q$5:$Q$154,"Paid",Orders!$R$5:$R$154,"Completed")</f>
        <v>0</v>
      </c>
      <c r="K36" s="14">
        <f>SUMIFS(Orders!$M$5:$M$154,Orders!$B$5:$B$154,$A36,Orders!$P$5:$P$154,"Cash",Orders!$Q$5:$Q$154,"Paid",Orders!$R$5:$R$154,"Completed")</f>
        <v>0</v>
      </c>
      <c r="L36" s="14">
        <f t="shared" si="2"/>
        <v>0</v>
      </c>
      <c r="M36" s="14">
        <f>SUMIFS(Expenses!$J$5:$J$104,Expenses!$B$5:$B$104,$A36,Expenses!$M$5:$M$104,"Paid")</f>
        <v>0</v>
      </c>
    </row>
    <row r="37" spans="1:13">
      <c r="A37" s="17">
        <f t="shared" si="3"/>
        <v>46236</v>
      </c>
      <c r="B37" s="14">
        <f>SUMIFS(Orders!$K$5:$K$154,Orders!$B$5:$B$154,$A37,Orders!$Q$5:$Q$154,"Paid",Orders!$R$5:$R$154,"Completed")</f>
        <v>0</v>
      </c>
      <c r="C37" s="14">
        <f>SUMIFS(Orders!$L$5:$L$154,Orders!$B$5:$B$154,$A37,Orders!$Q$5:$Q$154,"Paid",Orders!$R$5:$R$154,"Completed")</f>
        <v>0</v>
      </c>
      <c r="D37" s="14">
        <f>SUMIFS(Orders!$M$5:$M$154,Orders!$B$5:$B$154,$A37,Orders!$Q$5:$Q$154,"Paid",Orders!$R$5:$R$154,"Completed")</f>
        <v>0</v>
      </c>
      <c r="E37" s="14">
        <f>SUMIFS(Orders!$O$5:$O$154,Orders!$B$5:$B$154,$A37,Orders!$Q$5:$Q$154,"Paid",Orders!$R$5:$R$154,"Completed")</f>
        <v>0</v>
      </c>
      <c r="F37" s="14">
        <f>SUMIFS(Expenses!$J$5:$J$104,Expenses!$B$5:$B$104,$A37,Expenses!$L$5:$L$104,"Operating Expense",Expenses!$M$5:$M$104,"Paid")</f>
        <v>0</v>
      </c>
      <c r="G37" s="9">
        <f t="shared" ref="G37:G68" si="4">D37-E37</f>
        <v>0</v>
      </c>
      <c r="H37" s="9">
        <f t="shared" ref="H37:H68" si="5">G37-F37</f>
        <v>0</v>
      </c>
      <c r="I37" s="18">
        <f>SUMIFS(Orders!$U$5:$U$154,Orders!$B$5:$B$154,$A37)</f>
        <v>0</v>
      </c>
      <c r="J37" s="18">
        <f>SUMIFS(Orders!$H$5:$H$154,Orders!$B$5:$B$154,$A37,Orders!$Q$5:$Q$154,"Paid",Orders!$R$5:$R$154,"Completed")</f>
        <v>0</v>
      </c>
      <c r="K37" s="14">
        <f>SUMIFS(Orders!$M$5:$M$154,Orders!$B$5:$B$154,$A37,Orders!$P$5:$P$154,"Cash",Orders!$Q$5:$Q$154,"Paid",Orders!$R$5:$R$154,"Completed")</f>
        <v>0</v>
      </c>
      <c r="L37" s="14">
        <f t="shared" ref="L37:L68" si="6">D37-K37</f>
        <v>0</v>
      </c>
      <c r="M37" s="14">
        <f>SUMIFS(Expenses!$J$5:$J$104,Expenses!$B$5:$B$104,$A37,Expenses!$M$5:$M$104,"Paid")</f>
        <v>0</v>
      </c>
    </row>
    <row r="38" spans="1:13">
      <c r="A38" s="17">
        <f t="shared" ref="A38:A69" si="7">A37+1</f>
        <v>46237</v>
      </c>
      <c r="B38" s="14">
        <f>SUMIFS(Orders!$K$5:$K$154,Orders!$B$5:$B$154,$A38,Orders!$Q$5:$Q$154,"Paid",Orders!$R$5:$R$154,"Completed")</f>
        <v>0</v>
      </c>
      <c r="C38" s="14">
        <f>SUMIFS(Orders!$L$5:$L$154,Orders!$B$5:$B$154,$A38,Orders!$Q$5:$Q$154,"Paid",Orders!$R$5:$R$154,"Completed")</f>
        <v>0</v>
      </c>
      <c r="D38" s="14">
        <f>SUMIFS(Orders!$M$5:$M$154,Orders!$B$5:$B$154,$A38,Orders!$Q$5:$Q$154,"Paid",Orders!$R$5:$R$154,"Completed")</f>
        <v>0</v>
      </c>
      <c r="E38" s="14">
        <f>SUMIFS(Orders!$O$5:$O$154,Orders!$B$5:$B$154,$A38,Orders!$Q$5:$Q$154,"Paid",Orders!$R$5:$R$154,"Completed")</f>
        <v>0</v>
      </c>
      <c r="F38" s="14">
        <f>SUMIFS(Expenses!$J$5:$J$104,Expenses!$B$5:$B$104,$A38,Expenses!$L$5:$L$104,"Operating Expense",Expenses!$M$5:$M$104,"Paid")</f>
        <v>0</v>
      </c>
      <c r="G38" s="9">
        <f t="shared" si="4"/>
        <v>0</v>
      </c>
      <c r="H38" s="9">
        <f t="shared" si="5"/>
        <v>0</v>
      </c>
      <c r="I38" s="18">
        <f>SUMIFS(Orders!$U$5:$U$154,Orders!$B$5:$B$154,$A38)</f>
        <v>0</v>
      </c>
      <c r="J38" s="18">
        <f>SUMIFS(Orders!$H$5:$H$154,Orders!$B$5:$B$154,$A38,Orders!$Q$5:$Q$154,"Paid",Orders!$R$5:$R$154,"Completed")</f>
        <v>0</v>
      </c>
      <c r="K38" s="14">
        <f>SUMIFS(Orders!$M$5:$M$154,Orders!$B$5:$B$154,$A38,Orders!$P$5:$P$154,"Cash",Orders!$Q$5:$Q$154,"Paid",Orders!$R$5:$R$154,"Completed")</f>
        <v>0</v>
      </c>
      <c r="L38" s="14">
        <f t="shared" si="6"/>
        <v>0</v>
      </c>
      <c r="M38" s="14">
        <f>SUMIFS(Expenses!$J$5:$J$104,Expenses!$B$5:$B$104,$A38,Expenses!$M$5:$M$104,"Paid")</f>
        <v>0</v>
      </c>
    </row>
    <row r="39" spans="1:13">
      <c r="A39" s="17">
        <f t="shared" si="7"/>
        <v>46238</v>
      </c>
      <c r="B39" s="14">
        <f>SUMIFS(Orders!$K$5:$K$154,Orders!$B$5:$B$154,$A39,Orders!$Q$5:$Q$154,"Paid",Orders!$R$5:$R$154,"Completed")</f>
        <v>0</v>
      </c>
      <c r="C39" s="14">
        <f>SUMIFS(Orders!$L$5:$L$154,Orders!$B$5:$B$154,$A39,Orders!$Q$5:$Q$154,"Paid",Orders!$R$5:$R$154,"Completed")</f>
        <v>0</v>
      </c>
      <c r="D39" s="14">
        <f>SUMIFS(Orders!$M$5:$M$154,Orders!$B$5:$B$154,$A39,Orders!$Q$5:$Q$154,"Paid",Orders!$R$5:$R$154,"Completed")</f>
        <v>0</v>
      </c>
      <c r="E39" s="14">
        <f>SUMIFS(Orders!$O$5:$O$154,Orders!$B$5:$B$154,$A39,Orders!$Q$5:$Q$154,"Paid",Orders!$R$5:$R$154,"Completed")</f>
        <v>0</v>
      </c>
      <c r="F39" s="14">
        <f>SUMIFS(Expenses!$J$5:$J$104,Expenses!$B$5:$B$104,$A39,Expenses!$L$5:$L$104,"Operating Expense",Expenses!$M$5:$M$104,"Paid")</f>
        <v>0</v>
      </c>
      <c r="G39" s="9">
        <f t="shared" si="4"/>
        <v>0</v>
      </c>
      <c r="H39" s="9">
        <f t="shared" si="5"/>
        <v>0</v>
      </c>
      <c r="I39" s="18">
        <f>SUMIFS(Orders!$U$5:$U$154,Orders!$B$5:$B$154,$A39)</f>
        <v>0</v>
      </c>
      <c r="J39" s="18">
        <f>SUMIFS(Orders!$H$5:$H$154,Orders!$B$5:$B$154,$A39,Orders!$Q$5:$Q$154,"Paid",Orders!$R$5:$R$154,"Completed")</f>
        <v>0</v>
      </c>
      <c r="K39" s="14">
        <f>SUMIFS(Orders!$M$5:$M$154,Orders!$B$5:$B$154,$A39,Orders!$P$5:$P$154,"Cash",Orders!$Q$5:$Q$154,"Paid",Orders!$R$5:$R$154,"Completed")</f>
        <v>0</v>
      </c>
      <c r="L39" s="14">
        <f t="shared" si="6"/>
        <v>0</v>
      </c>
      <c r="M39" s="14">
        <f>SUMIFS(Expenses!$J$5:$J$104,Expenses!$B$5:$B$104,$A39,Expenses!$M$5:$M$104,"Paid")</f>
        <v>0</v>
      </c>
    </row>
    <row r="40" spans="1:13">
      <c r="A40" s="17">
        <f t="shared" si="7"/>
        <v>46239</v>
      </c>
      <c r="B40" s="14">
        <f>SUMIFS(Orders!$K$5:$K$154,Orders!$B$5:$B$154,$A40,Orders!$Q$5:$Q$154,"Paid",Orders!$R$5:$R$154,"Completed")</f>
        <v>0</v>
      </c>
      <c r="C40" s="14">
        <f>SUMIFS(Orders!$L$5:$L$154,Orders!$B$5:$B$154,$A40,Orders!$Q$5:$Q$154,"Paid",Orders!$R$5:$R$154,"Completed")</f>
        <v>0</v>
      </c>
      <c r="D40" s="14">
        <f>SUMIFS(Orders!$M$5:$M$154,Orders!$B$5:$B$154,$A40,Orders!$Q$5:$Q$154,"Paid",Orders!$R$5:$R$154,"Completed")</f>
        <v>0</v>
      </c>
      <c r="E40" s="14">
        <f>SUMIFS(Orders!$O$5:$O$154,Orders!$B$5:$B$154,$A40,Orders!$Q$5:$Q$154,"Paid",Orders!$R$5:$R$154,"Completed")</f>
        <v>0</v>
      </c>
      <c r="F40" s="14">
        <f>SUMIFS(Expenses!$J$5:$J$104,Expenses!$B$5:$B$104,$A40,Expenses!$L$5:$L$104,"Operating Expense",Expenses!$M$5:$M$104,"Paid")</f>
        <v>0</v>
      </c>
      <c r="G40" s="9">
        <f t="shared" si="4"/>
        <v>0</v>
      </c>
      <c r="H40" s="9">
        <f t="shared" si="5"/>
        <v>0</v>
      </c>
      <c r="I40" s="18">
        <f>SUMIFS(Orders!$U$5:$U$154,Orders!$B$5:$B$154,$A40)</f>
        <v>0</v>
      </c>
      <c r="J40" s="18">
        <f>SUMIFS(Orders!$H$5:$H$154,Orders!$B$5:$B$154,$A40,Orders!$Q$5:$Q$154,"Paid",Orders!$R$5:$R$154,"Completed")</f>
        <v>0</v>
      </c>
      <c r="K40" s="14">
        <f>SUMIFS(Orders!$M$5:$M$154,Orders!$B$5:$B$154,$A40,Orders!$P$5:$P$154,"Cash",Orders!$Q$5:$Q$154,"Paid",Orders!$R$5:$R$154,"Completed")</f>
        <v>0</v>
      </c>
      <c r="L40" s="14">
        <f t="shared" si="6"/>
        <v>0</v>
      </c>
      <c r="M40" s="14">
        <f>SUMIFS(Expenses!$J$5:$J$104,Expenses!$B$5:$B$104,$A40,Expenses!$M$5:$M$104,"Paid")</f>
        <v>0</v>
      </c>
    </row>
    <row r="41" spans="1:13">
      <c r="A41" s="17">
        <f t="shared" si="7"/>
        <v>46240</v>
      </c>
      <c r="B41" s="14">
        <f>SUMIFS(Orders!$K$5:$K$154,Orders!$B$5:$B$154,$A41,Orders!$Q$5:$Q$154,"Paid",Orders!$R$5:$R$154,"Completed")</f>
        <v>0</v>
      </c>
      <c r="C41" s="14">
        <f>SUMIFS(Orders!$L$5:$L$154,Orders!$B$5:$B$154,$A41,Orders!$Q$5:$Q$154,"Paid",Orders!$R$5:$R$154,"Completed")</f>
        <v>0</v>
      </c>
      <c r="D41" s="14">
        <f>SUMIFS(Orders!$M$5:$M$154,Orders!$B$5:$B$154,$A41,Orders!$Q$5:$Q$154,"Paid",Orders!$R$5:$R$154,"Completed")</f>
        <v>0</v>
      </c>
      <c r="E41" s="14">
        <f>SUMIFS(Orders!$O$5:$O$154,Orders!$B$5:$B$154,$A41,Orders!$Q$5:$Q$154,"Paid",Orders!$R$5:$R$154,"Completed")</f>
        <v>0</v>
      </c>
      <c r="F41" s="14">
        <f>SUMIFS(Expenses!$J$5:$J$104,Expenses!$B$5:$B$104,$A41,Expenses!$L$5:$L$104,"Operating Expense",Expenses!$M$5:$M$104,"Paid")</f>
        <v>0</v>
      </c>
      <c r="G41" s="9">
        <f t="shared" si="4"/>
        <v>0</v>
      </c>
      <c r="H41" s="9">
        <f t="shared" si="5"/>
        <v>0</v>
      </c>
      <c r="I41" s="18">
        <f>SUMIFS(Orders!$U$5:$U$154,Orders!$B$5:$B$154,$A41)</f>
        <v>0</v>
      </c>
      <c r="J41" s="18">
        <f>SUMIFS(Orders!$H$5:$H$154,Orders!$B$5:$B$154,$A41,Orders!$Q$5:$Q$154,"Paid",Orders!$R$5:$R$154,"Completed")</f>
        <v>0</v>
      </c>
      <c r="K41" s="14">
        <f>SUMIFS(Orders!$M$5:$M$154,Orders!$B$5:$B$154,$A41,Orders!$P$5:$P$154,"Cash",Orders!$Q$5:$Q$154,"Paid",Orders!$R$5:$R$154,"Completed")</f>
        <v>0</v>
      </c>
      <c r="L41" s="14">
        <f t="shared" si="6"/>
        <v>0</v>
      </c>
      <c r="M41" s="14">
        <f>SUMIFS(Expenses!$J$5:$J$104,Expenses!$B$5:$B$104,$A41,Expenses!$M$5:$M$104,"Paid")</f>
        <v>0</v>
      </c>
    </row>
    <row r="42" spans="1:13">
      <c r="A42" s="17">
        <f t="shared" si="7"/>
        <v>46241</v>
      </c>
      <c r="B42" s="14">
        <f>SUMIFS(Orders!$K$5:$K$154,Orders!$B$5:$B$154,$A42,Orders!$Q$5:$Q$154,"Paid",Orders!$R$5:$R$154,"Completed")</f>
        <v>0</v>
      </c>
      <c r="C42" s="14">
        <f>SUMIFS(Orders!$L$5:$L$154,Orders!$B$5:$B$154,$A42,Orders!$Q$5:$Q$154,"Paid",Orders!$R$5:$R$154,"Completed")</f>
        <v>0</v>
      </c>
      <c r="D42" s="14">
        <f>SUMIFS(Orders!$M$5:$M$154,Orders!$B$5:$B$154,$A42,Orders!$Q$5:$Q$154,"Paid",Orders!$R$5:$R$154,"Completed")</f>
        <v>0</v>
      </c>
      <c r="E42" s="14">
        <f>SUMIFS(Orders!$O$5:$O$154,Orders!$B$5:$B$154,$A42,Orders!$Q$5:$Q$154,"Paid",Orders!$R$5:$R$154,"Completed")</f>
        <v>0</v>
      </c>
      <c r="F42" s="14">
        <f>SUMIFS(Expenses!$J$5:$J$104,Expenses!$B$5:$B$104,$A42,Expenses!$L$5:$L$104,"Operating Expense",Expenses!$M$5:$M$104,"Paid")</f>
        <v>0</v>
      </c>
      <c r="G42" s="9">
        <f t="shared" si="4"/>
        <v>0</v>
      </c>
      <c r="H42" s="9">
        <f t="shared" si="5"/>
        <v>0</v>
      </c>
      <c r="I42" s="18">
        <f>SUMIFS(Orders!$U$5:$U$154,Orders!$B$5:$B$154,$A42)</f>
        <v>0</v>
      </c>
      <c r="J42" s="18">
        <f>SUMIFS(Orders!$H$5:$H$154,Orders!$B$5:$B$154,$A42,Orders!$Q$5:$Q$154,"Paid",Orders!$R$5:$R$154,"Completed")</f>
        <v>0</v>
      </c>
      <c r="K42" s="14">
        <f>SUMIFS(Orders!$M$5:$M$154,Orders!$B$5:$B$154,$A42,Orders!$P$5:$P$154,"Cash",Orders!$Q$5:$Q$154,"Paid",Orders!$R$5:$R$154,"Completed")</f>
        <v>0</v>
      </c>
      <c r="L42" s="14">
        <f t="shared" si="6"/>
        <v>0</v>
      </c>
      <c r="M42" s="14">
        <f>SUMIFS(Expenses!$J$5:$J$104,Expenses!$B$5:$B$104,$A42,Expenses!$M$5:$M$104,"Paid")</f>
        <v>0</v>
      </c>
    </row>
    <row r="43" spans="1:13">
      <c r="A43" s="17">
        <f t="shared" si="7"/>
        <v>46242</v>
      </c>
      <c r="B43" s="14">
        <f>SUMIFS(Orders!$K$5:$K$154,Orders!$B$5:$B$154,$A43,Orders!$Q$5:$Q$154,"Paid",Orders!$R$5:$R$154,"Completed")</f>
        <v>0</v>
      </c>
      <c r="C43" s="14">
        <f>SUMIFS(Orders!$L$5:$L$154,Orders!$B$5:$B$154,$A43,Orders!$Q$5:$Q$154,"Paid",Orders!$R$5:$R$154,"Completed")</f>
        <v>0</v>
      </c>
      <c r="D43" s="14">
        <f>SUMIFS(Orders!$M$5:$M$154,Orders!$B$5:$B$154,$A43,Orders!$Q$5:$Q$154,"Paid",Orders!$R$5:$R$154,"Completed")</f>
        <v>0</v>
      </c>
      <c r="E43" s="14">
        <f>SUMIFS(Orders!$O$5:$O$154,Orders!$B$5:$B$154,$A43,Orders!$Q$5:$Q$154,"Paid",Orders!$R$5:$R$154,"Completed")</f>
        <v>0</v>
      </c>
      <c r="F43" s="14">
        <f>SUMIFS(Expenses!$J$5:$J$104,Expenses!$B$5:$B$104,$A43,Expenses!$L$5:$L$104,"Operating Expense",Expenses!$M$5:$M$104,"Paid")</f>
        <v>0</v>
      </c>
      <c r="G43" s="9">
        <f t="shared" si="4"/>
        <v>0</v>
      </c>
      <c r="H43" s="9">
        <f t="shared" si="5"/>
        <v>0</v>
      </c>
      <c r="I43" s="18">
        <f>SUMIFS(Orders!$U$5:$U$154,Orders!$B$5:$B$154,$A43)</f>
        <v>0</v>
      </c>
      <c r="J43" s="18">
        <f>SUMIFS(Orders!$H$5:$H$154,Orders!$B$5:$B$154,$A43,Orders!$Q$5:$Q$154,"Paid",Orders!$R$5:$R$154,"Completed")</f>
        <v>0</v>
      </c>
      <c r="K43" s="14">
        <f>SUMIFS(Orders!$M$5:$M$154,Orders!$B$5:$B$154,$A43,Orders!$P$5:$P$154,"Cash",Orders!$Q$5:$Q$154,"Paid",Orders!$R$5:$R$154,"Completed")</f>
        <v>0</v>
      </c>
      <c r="L43" s="14">
        <f t="shared" si="6"/>
        <v>0</v>
      </c>
      <c r="M43" s="14">
        <f>SUMIFS(Expenses!$J$5:$J$104,Expenses!$B$5:$B$104,$A43,Expenses!$M$5:$M$104,"Paid")</f>
        <v>0</v>
      </c>
    </row>
    <row r="44" spans="1:13">
      <c r="A44" s="17">
        <f t="shared" si="7"/>
        <v>46243</v>
      </c>
      <c r="B44" s="14">
        <f>SUMIFS(Orders!$K$5:$K$154,Orders!$B$5:$B$154,$A44,Orders!$Q$5:$Q$154,"Paid",Orders!$R$5:$R$154,"Completed")</f>
        <v>0</v>
      </c>
      <c r="C44" s="14">
        <f>SUMIFS(Orders!$L$5:$L$154,Orders!$B$5:$B$154,$A44,Orders!$Q$5:$Q$154,"Paid",Orders!$R$5:$R$154,"Completed")</f>
        <v>0</v>
      </c>
      <c r="D44" s="14">
        <f>SUMIFS(Orders!$M$5:$M$154,Orders!$B$5:$B$154,$A44,Orders!$Q$5:$Q$154,"Paid",Orders!$R$5:$R$154,"Completed")</f>
        <v>0</v>
      </c>
      <c r="E44" s="14">
        <f>SUMIFS(Orders!$O$5:$O$154,Orders!$B$5:$B$154,$A44,Orders!$Q$5:$Q$154,"Paid",Orders!$R$5:$R$154,"Completed")</f>
        <v>0</v>
      </c>
      <c r="F44" s="14">
        <f>SUMIFS(Expenses!$J$5:$J$104,Expenses!$B$5:$B$104,$A44,Expenses!$L$5:$L$104,"Operating Expense",Expenses!$M$5:$M$104,"Paid")</f>
        <v>0</v>
      </c>
      <c r="G44" s="9">
        <f t="shared" si="4"/>
        <v>0</v>
      </c>
      <c r="H44" s="9">
        <f t="shared" si="5"/>
        <v>0</v>
      </c>
      <c r="I44" s="18">
        <f>SUMIFS(Orders!$U$5:$U$154,Orders!$B$5:$B$154,$A44)</f>
        <v>0</v>
      </c>
      <c r="J44" s="18">
        <f>SUMIFS(Orders!$H$5:$H$154,Orders!$B$5:$B$154,$A44,Orders!$Q$5:$Q$154,"Paid",Orders!$R$5:$R$154,"Completed")</f>
        <v>0</v>
      </c>
      <c r="K44" s="14">
        <f>SUMIFS(Orders!$M$5:$M$154,Orders!$B$5:$B$154,$A44,Orders!$P$5:$P$154,"Cash",Orders!$Q$5:$Q$154,"Paid",Orders!$R$5:$R$154,"Completed")</f>
        <v>0</v>
      </c>
      <c r="L44" s="14">
        <f t="shared" si="6"/>
        <v>0</v>
      </c>
      <c r="M44" s="14">
        <f>SUMIFS(Expenses!$J$5:$J$104,Expenses!$B$5:$B$104,$A44,Expenses!$M$5:$M$104,"Paid")</f>
        <v>0</v>
      </c>
    </row>
    <row r="45" spans="1:13">
      <c r="A45" s="17">
        <f t="shared" si="7"/>
        <v>46244</v>
      </c>
      <c r="B45" s="14">
        <f>SUMIFS(Orders!$K$5:$K$154,Orders!$B$5:$B$154,$A45,Orders!$Q$5:$Q$154,"Paid",Orders!$R$5:$R$154,"Completed")</f>
        <v>0</v>
      </c>
      <c r="C45" s="14">
        <f>SUMIFS(Orders!$L$5:$L$154,Orders!$B$5:$B$154,$A45,Orders!$Q$5:$Q$154,"Paid",Orders!$R$5:$R$154,"Completed")</f>
        <v>0</v>
      </c>
      <c r="D45" s="14">
        <f>SUMIFS(Orders!$M$5:$M$154,Orders!$B$5:$B$154,$A45,Orders!$Q$5:$Q$154,"Paid",Orders!$R$5:$R$154,"Completed")</f>
        <v>0</v>
      </c>
      <c r="E45" s="14">
        <f>SUMIFS(Orders!$O$5:$O$154,Orders!$B$5:$B$154,$A45,Orders!$Q$5:$Q$154,"Paid",Orders!$R$5:$R$154,"Completed")</f>
        <v>0</v>
      </c>
      <c r="F45" s="14">
        <f>SUMIFS(Expenses!$J$5:$J$104,Expenses!$B$5:$B$104,$A45,Expenses!$L$5:$L$104,"Operating Expense",Expenses!$M$5:$M$104,"Paid")</f>
        <v>0</v>
      </c>
      <c r="G45" s="9">
        <f t="shared" si="4"/>
        <v>0</v>
      </c>
      <c r="H45" s="9">
        <f t="shared" si="5"/>
        <v>0</v>
      </c>
      <c r="I45" s="18">
        <f>SUMIFS(Orders!$U$5:$U$154,Orders!$B$5:$B$154,$A45)</f>
        <v>0</v>
      </c>
      <c r="J45" s="18">
        <f>SUMIFS(Orders!$H$5:$H$154,Orders!$B$5:$B$154,$A45,Orders!$Q$5:$Q$154,"Paid",Orders!$R$5:$R$154,"Completed")</f>
        <v>0</v>
      </c>
      <c r="K45" s="14">
        <f>SUMIFS(Orders!$M$5:$M$154,Orders!$B$5:$B$154,$A45,Orders!$P$5:$P$154,"Cash",Orders!$Q$5:$Q$154,"Paid",Orders!$R$5:$R$154,"Completed")</f>
        <v>0</v>
      </c>
      <c r="L45" s="14">
        <f t="shared" si="6"/>
        <v>0</v>
      </c>
      <c r="M45" s="14">
        <f>SUMIFS(Expenses!$J$5:$J$104,Expenses!$B$5:$B$104,$A45,Expenses!$M$5:$M$104,"Paid")</f>
        <v>0</v>
      </c>
    </row>
    <row r="46" spans="1:13">
      <c r="A46" s="17">
        <f t="shared" si="7"/>
        <v>46245</v>
      </c>
      <c r="B46" s="14">
        <f>SUMIFS(Orders!$K$5:$K$154,Orders!$B$5:$B$154,$A46,Orders!$Q$5:$Q$154,"Paid",Orders!$R$5:$R$154,"Completed")</f>
        <v>0</v>
      </c>
      <c r="C46" s="14">
        <f>SUMIFS(Orders!$L$5:$L$154,Orders!$B$5:$B$154,$A46,Orders!$Q$5:$Q$154,"Paid",Orders!$R$5:$R$154,"Completed")</f>
        <v>0</v>
      </c>
      <c r="D46" s="14">
        <f>SUMIFS(Orders!$M$5:$M$154,Orders!$B$5:$B$154,$A46,Orders!$Q$5:$Q$154,"Paid",Orders!$R$5:$R$154,"Completed")</f>
        <v>0</v>
      </c>
      <c r="E46" s="14">
        <f>SUMIFS(Orders!$O$5:$O$154,Orders!$B$5:$B$154,$A46,Orders!$Q$5:$Q$154,"Paid",Orders!$R$5:$R$154,"Completed")</f>
        <v>0</v>
      </c>
      <c r="F46" s="14">
        <f>SUMIFS(Expenses!$J$5:$J$104,Expenses!$B$5:$B$104,$A46,Expenses!$L$5:$L$104,"Operating Expense",Expenses!$M$5:$M$104,"Paid")</f>
        <v>0</v>
      </c>
      <c r="G46" s="9">
        <f t="shared" si="4"/>
        <v>0</v>
      </c>
      <c r="H46" s="9">
        <f t="shared" si="5"/>
        <v>0</v>
      </c>
      <c r="I46" s="18">
        <f>SUMIFS(Orders!$U$5:$U$154,Orders!$B$5:$B$154,$A46)</f>
        <v>0</v>
      </c>
      <c r="J46" s="18">
        <f>SUMIFS(Orders!$H$5:$H$154,Orders!$B$5:$B$154,$A46,Orders!$Q$5:$Q$154,"Paid",Orders!$R$5:$R$154,"Completed")</f>
        <v>0</v>
      </c>
      <c r="K46" s="14">
        <f>SUMIFS(Orders!$M$5:$M$154,Orders!$B$5:$B$154,$A46,Orders!$P$5:$P$154,"Cash",Orders!$Q$5:$Q$154,"Paid",Orders!$R$5:$R$154,"Completed")</f>
        <v>0</v>
      </c>
      <c r="L46" s="14">
        <f t="shared" si="6"/>
        <v>0</v>
      </c>
      <c r="M46" s="14">
        <f>SUMIFS(Expenses!$J$5:$J$104,Expenses!$B$5:$B$104,$A46,Expenses!$M$5:$M$104,"Paid")</f>
        <v>0</v>
      </c>
    </row>
    <row r="47" spans="1:13">
      <c r="A47" s="17">
        <f t="shared" si="7"/>
        <v>46246</v>
      </c>
      <c r="B47" s="14">
        <f>SUMIFS(Orders!$K$5:$K$154,Orders!$B$5:$B$154,$A47,Orders!$Q$5:$Q$154,"Paid",Orders!$R$5:$R$154,"Completed")</f>
        <v>0</v>
      </c>
      <c r="C47" s="14">
        <f>SUMIFS(Orders!$L$5:$L$154,Orders!$B$5:$B$154,$A47,Orders!$Q$5:$Q$154,"Paid",Orders!$R$5:$R$154,"Completed")</f>
        <v>0</v>
      </c>
      <c r="D47" s="14">
        <f>SUMIFS(Orders!$M$5:$M$154,Orders!$B$5:$B$154,$A47,Orders!$Q$5:$Q$154,"Paid",Orders!$R$5:$R$154,"Completed")</f>
        <v>0</v>
      </c>
      <c r="E47" s="14">
        <f>SUMIFS(Orders!$O$5:$O$154,Orders!$B$5:$B$154,$A47,Orders!$Q$5:$Q$154,"Paid",Orders!$R$5:$R$154,"Completed")</f>
        <v>0</v>
      </c>
      <c r="F47" s="14">
        <f>SUMIFS(Expenses!$J$5:$J$104,Expenses!$B$5:$B$104,$A47,Expenses!$L$5:$L$104,"Operating Expense",Expenses!$M$5:$M$104,"Paid")</f>
        <v>0</v>
      </c>
      <c r="G47" s="9">
        <f t="shared" si="4"/>
        <v>0</v>
      </c>
      <c r="H47" s="9">
        <f t="shared" si="5"/>
        <v>0</v>
      </c>
      <c r="I47" s="18">
        <f>SUMIFS(Orders!$U$5:$U$154,Orders!$B$5:$B$154,$A47)</f>
        <v>0</v>
      </c>
      <c r="J47" s="18">
        <f>SUMIFS(Orders!$H$5:$H$154,Orders!$B$5:$B$154,$A47,Orders!$Q$5:$Q$154,"Paid",Orders!$R$5:$R$154,"Completed")</f>
        <v>0</v>
      </c>
      <c r="K47" s="14">
        <f>SUMIFS(Orders!$M$5:$M$154,Orders!$B$5:$B$154,$A47,Orders!$P$5:$P$154,"Cash",Orders!$Q$5:$Q$154,"Paid",Orders!$R$5:$R$154,"Completed")</f>
        <v>0</v>
      </c>
      <c r="L47" s="14">
        <f t="shared" si="6"/>
        <v>0</v>
      </c>
      <c r="M47" s="14">
        <f>SUMIFS(Expenses!$J$5:$J$104,Expenses!$B$5:$B$104,$A47,Expenses!$M$5:$M$104,"Paid")</f>
        <v>0</v>
      </c>
    </row>
    <row r="48" spans="1:13">
      <c r="A48" s="17">
        <f t="shared" si="7"/>
        <v>46247</v>
      </c>
      <c r="B48" s="14">
        <f>SUMIFS(Orders!$K$5:$K$154,Orders!$B$5:$B$154,$A48,Orders!$Q$5:$Q$154,"Paid",Orders!$R$5:$R$154,"Completed")</f>
        <v>0</v>
      </c>
      <c r="C48" s="14">
        <f>SUMIFS(Orders!$L$5:$L$154,Orders!$B$5:$B$154,$A48,Orders!$Q$5:$Q$154,"Paid",Orders!$R$5:$R$154,"Completed")</f>
        <v>0</v>
      </c>
      <c r="D48" s="14">
        <f>SUMIFS(Orders!$M$5:$M$154,Orders!$B$5:$B$154,$A48,Orders!$Q$5:$Q$154,"Paid",Orders!$R$5:$R$154,"Completed")</f>
        <v>0</v>
      </c>
      <c r="E48" s="14">
        <f>SUMIFS(Orders!$O$5:$O$154,Orders!$B$5:$B$154,$A48,Orders!$Q$5:$Q$154,"Paid",Orders!$R$5:$R$154,"Completed")</f>
        <v>0</v>
      </c>
      <c r="F48" s="14">
        <f>SUMIFS(Expenses!$J$5:$J$104,Expenses!$B$5:$B$104,$A48,Expenses!$L$5:$L$104,"Operating Expense",Expenses!$M$5:$M$104,"Paid")</f>
        <v>0</v>
      </c>
      <c r="G48" s="9">
        <f t="shared" si="4"/>
        <v>0</v>
      </c>
      <c r="H48" s="9">
        <f t="shared" si="5"/>
        <v>0</v>
      </c>
      <c r="I48" s="18">
        <f>SUMIFS(Orders!$U$5:$U$154,Orders!$B$5:$B$154,$A48)</f>
        <v>0</v>
      </c>
      <c r="J48" s="18">
        <f>SUMIFS(Orders!$H$5:$H$154,Orders!$B$5:$B$154,$A48,Orders!$Q$5:$Q$154,"Paid",Orders!$R$5:$R$154,"Completed")</f>
        <v>0</v>
      </c>
      <c r="K48" s="14">
        <f>SUMIFS(Orders!$M$5:$M$154,Orders!$B$5:$B$154,$A48,Orders!$P$5:$P$154,"Cash",Orders!$Q$5:$Q$154,"Paid",Orders!$R$5:$R$154,"Completed")</f>
        <v>0</v>
      </c>
      <c r="L48" s="14">
        <f t="shared" si="6"/>
        <v>0</v>
      </c>
      <c r="M48" s="14">
        <f>SUMIFS(Expenses!$J$5:$J$104,Expenses!$B$5:$B$104,$A48,Expenses!$M$5:$M$104,"Paid")</f>
        <v>0</v>
      </c>
    </row>
    <row r="49" spans="1:13">
      <c r="A49" s="17">
        <f t="shared" si="7"/>
        <v>46248</v>
      </c>
      <c r="B49" s="14">
        <f>SUMIFS(Orders!$K$5:$K$154,Orders!$B$5:$B$154,$A49,Orders!$Q$5:$Q$154,"Paid",Orders!$R$5:$R$154,"Completed")</f>
        <v>0</v>
      </c>
      <c r="C49" s="14">
        <f>SUMIFS(Orders!$L$5:$L$154,Orders!$B$5:$B$154,$A49,Orders!$Q$5:$Q$154,"Paid",Orders!$R$5:$R$154,"Completed")</f>
        <v>0</v>
      </c>
      <c r="D49" s="14">
        <f>SUMIFS(Orders!$M$5:$M$154,Orders!$B$5:$B$154,$A49,Orders!$Q$5:$Q$154,"Paid",Orders!$R$5:$R$154,"Completed")</f>
        <v>0</v>
      </c>
      <c r="E49" s="14">
        <f>SUMIFS(Orders!$O$5:$O$154,Orders!$B$5:$B$154,$A49,Orders!$Q$5:$Q$154,"Paid",Orders!$R$5:$R$154,"Completed")</f>
        <v>0</v>
      </c>
      <c r="F49" s="14">
        <f>SUMIFS(Expenses!$J$5:$J$104,Expenses!$B$5:$B$104,$A49,Expenses!$L$5:$L$104,"Operating Expense",Expenses!$M$5:$M$104,"Paid")</f>
        <v>0</v>
      </c>
      <c r="G49" s="9">
        <f t="shared" si="4"/>
        <v>0</v>
      </c>
      <c r="H49" s="9">
        <f t="shared" si="5"/>
        <v>0</v>
      </c>
      <c r="I49" s="18">
        <f>SUMIFS(Orders!$U$5:$U$154,Orders!$B$5:$B$154,$A49)</f>
        <v>0</v>
      </c>
      <c r="J49" s="18">
        <f>SUMIFS(Orders!$H$5:$H$154,Orders!$B$5:$B$154,$A49,Orders!$Q$5:$Q$154,"Paid",Orders!$R$5:$R$154,"Completed")</f>
        <v>0</v>
      </c>
      <c r="K49" s="14">
        <f>SUMIFS(Orders!$M$5:$M$154,Orders!$B$5:$B$154,$A49,Orders!$P$5:$P$154,"Cash",Orders!$Q$5:$Q$154,"Paid",Orders!$R$5:$R$154,"Completed")</f>
        <v>0</v>
      </c>
      <c r="L49" s="14">
        <f t="shared" si="6"/>
        <v>0</v>
      </c>
      <c r="M49" s="14">
        <f>SUMIFS(Expenses!$J$5:$J$104,Expenses!$B$5:$B$104,$A49,Expenses!$M$5:$M$104,"Paid")</f>
        <v>0</v>
      </c>
    </row>
    <row r="50" spans="1:13">
      <c r="A50" s="17">
        <f t="shared" si="7"/>
        <v>46249</v>
      </c>
      <c r="B50" s="14">
        <f>SUMIFS(Orders!$K$5:$K$154,Orders!$B$5:$B$154,$A50,Orders!$Q$5:$Q$154,"Paid",Orders!$R$5:$R$154,"Completed")</f>
        <v>0</v>
      </c>
      <c r="C50" s="14">
        <f>SUMIFS(Orders!$L$5:$L$154,Orders!$B$5:$B$154,$A50,Orders!$Q$5:$Q$154,"Paid",Orders!$R$5:$R$154,"Completed")</f>
        <v>0</v>
      </c>
      <c r="D50" s="14">
        <f>SUMIFS(Orders!$M$5:$M$154,Orders!$B$5:$B$154,$A50,Orders!$Q$5:$Q$154,"Paid",Orders!$R$5:$R$154,"Completed")</f>
        <v>0</v>
      </c>
      <c r="E50" s="14">
        <f>SUMIFS(Orders!$O$5:$O$154,Orders!$B$5:$B$154,$A50,Orders!$Q$5:$Q$154,"Paid",Orders!$R$5:$R$154,"Completed")</f>
        <v>0</v>
      </c>
      <c r="F50" s="14">
        <f>SUMIFS(Expenses!$J$5:$J$104,Expenses!$B$5:$B$104,$A50,Expenses!$L$5:$L$104,"Operating Expense",Expenses!$M$5:$M$104,"Paid")</f>
        <v>0</v>
      </c>
      <c r="G50" s="9">
        <f t="shared" si="4"/>
        <v>0</v>
      </c>
      <c r="H50" s="9">
        <f t="shared" si="5"/>
        <v>0</v>
      </c>
      <c r="I50" s="18">
        <f>SUMIFS(Orders!$U$5:$U$154,Orders!$B$5:$B$154,$A50)</f>
        <v>0</v>
      </c>
      <c r="J50" s="18">
        <f>SUMIFS(Orders!$H$5:$H$154,Orders!$B$5:$B$154,$A50,Orders!$Q$5:$Q$154,"Paid",Orders!$R$5:$R$154,"Completed")</f>
        <v>0</v>
      </c>
      <c r="K50" s="14">
        <f>SUMIFS(Orders!$M$5:$M$154,Orders!$B$5:$B$154,$A50,Orders!$P$5:$P$154,"Cash",Orders!$Q$5:$Q$154,"Paid",Orders!$R$5:$R$154,"Completed")</f>
        <v>0</v>
      </c>
      <c r="L50" s="14">
        <f t="shared" si="6"/>
        <v>0</v>
      </c>
      <c r="M50" s="14">
        <f>SUMIFS(Expenses!$J$5:$J$104,Expenses!$B$5:$B$104,$A50,Expenses!$M$5:$M$104,"Paid")</f>
        <v>0</v>
      </c>
    </row>
    <row r="51" spans="1:13">
      <c r="A51" s="17">
        <f t="shared" si="7"/>
        <v>46250</v>
      </c>
      <c r="B51" s="14">
        <f>SUMIFS(Orders!$K$5:$K$154,Orders!$B$5:$B$154,$A51,Orders!$Q$5:$Q$154,"Paid",Orders!$R$5:$R$154,"Completed")</f>
        <v>0</v>
      </c>
      <c r="C51" s="14">
        <f>SUMIFS(Orders!$L$5:$L$154,Orders!$B$5:$B$154,$A51,Orders!$Q$5:$Q$154,"Paid",Orders!$R$5:$R$154,"Completed")</f>
        <v>0</v>
      </c>
      <c r="D51" s="14">
        <f>SUMIFS(Orders!$M$5:$M$154,Orders!$B$5:$B$154,$A51,Orders!$Q$5:$Q$154,"Paid",Orders!$R$5:$R$154,"Completed")</f>
        <v>0</v>
      </c>
      <c r="E51" s="14">
        <f>SUMIFS(Orders!$O$5:$O$154,Orders!$B$5:$B$154,$A51,Orders!$Q$5:$Q$154,"Paid",Orders!$R$5:$R$154,"Completed")</f>
        <v>0</v>
      </c>
      <c r="F51" s="14">
        <f>SUMIFS(Expenses!$J$5:$J$104,Expenses!$B$5:$B$104,$A51,Expenses!$L$5:$L$104,"Operating Expense",Expenses!$M$5:$M$104,"Paid")</f>
        <v>0</v>
      </c>
      <c r="G51" s="9">
        <f t="shared" si="4"/>
        <v>0</v>
      </c>
      <c r="H51" s="9">
        <f t="shared" si="5"/>
        <v>0</v>
      </c>
      <c r="I51" s="18">
        <f>SUMIFS(Orders!$U$5:$U$154,Orders!$B$5:$B$154,$A51)</f>
        <v>0</v>
      </c>
      <c r="J51" s="18">
        <f>SUMIFS(Orders!$H$5:$H$154,Orders!$B$5:$B$154,$A51,Orders!$Q$5:$Q$154,"Paid",Orders!$R$5:$R$154,"Completed")</f>
        <v>0</v>
      </c>
      <c r="K51" s="14">
        <f>SUMIFS(Orders!$M$5:$M$154,Orders!$B$5:$B$154,$A51,Orders!$P$5:$P$154,"Cash",Orders!$Q$5:$Q$154,"Paid",Orders!$R$5:$R$154,"Completed")</f>
        <v>0</v>
      </c>
      <c r="L51" s="14">
        <f t="shared" si="6"/>
        <v>0</v>
      </c>
      <c r="M51" s="14">
        <f>SUMIFS(Expenses!$J$5:$J$104,Expenses!$B$5:$B$104,$A51,Expenses!$M$5:$M$104,"Paid")</f>
        <v>0</v>
      </c>
    </row>
    <row r="52" spans="1:13">
      <c r="A52" s="17">
        <f t="shared" si="7"/>
        <v>46251</v>
      </c>
      <c r="B52" s="14">
        <f>SUMIFS(Orders!$K$5:$K$154,Orders!$B$5:$B$154,$A52,Orders!$Q$5:$Q$154,"Paid",Orders!$R$5:$R$154,"Completed")</f>
        <v>0</v>
      </c>
      <c r="C52" s="14">
        <f>SUMIFS(Orders!$L$5:$L$154,Orders!$B$5:$B$154,$A52,Orders!$Q$5:$Q$154,"Paid",Orders!$R$5:$R$154,"Completed")</f>
        <v>0</v>
      </c>
      <c r="D52" s="14">
        <f>SUMIFS(Orders!$M$5:$M$154,Orders!$B$5:$B$154,$A52,Orders!$Q$5:$Q$154,"Paid",Orders!$R$5:$R$154,"Completed")</f>
        <v>0</v>
      </c>
      <c r="E52" s="14">
        <f>SUMIFS(Orders!$O$5:$O$154,Orders!$B$5:$B$154,$A52,Orders!$Q$5:$Q$154,"Paid",Orders!$R$5:$R$154,"Completed")</f>
        <v>0</v>
      </c>
      <c r="F52" s="14">
        <f>SUMIFS(Expenses!$J$5:$J$104,Expenses!$B$5:$B$104,$A52,Expenses!$L$5:$L$104,"Operating Expense",Expenses!$M$5:$M$104,"Paid")</f>
        <v>0</v>
      </c>
      <c r="G52" s="9">
        <f t="shared" si="4"/>
        <v>0</v>
      </c>
      <c r="H52" s="9">
        <f t="shared" si="5"/>
        <v>0</v>
      </c>
      <c r="I52" s="18">
        <f>SUMIFS(Orders!$U$5:$U$154,Orders!$B$5:$B$154,$A52)</f>
        <v>0</v>
      </c>
      <c r="J52" s="18">
        <f>SUMIFS(Orders!$H$5:$H$154,Orders!$B$5:$B$154,$A52,Orders!$Q$5:$Q$154,"Paid",Orders!$R$5:$R$154,"Completed")</f>
        <v>0</v>
      </c>
      <c r="K52" s="14">
        <f>SUMIFS(Orders!$M$5:$M$154,Orders!$B$5:$B$154,$A52,Orders!$P$5:$P$154,"Cash",Orders!$Q$5:$Q$154,"Paid",Orders!$R$5:$R$154,"Completed")</f>
        <v>0</v>
      </c>
      <c r="L52" s="14">
        <f t="shared" si="6"/>
        <v>0</v>
      </c>
      <c r="M52" s="14">
        <f>SUMIFS(Expenses!$J$5:$J$104,Expenses!$B$5:$B$104,$A52,Expenses!$M$5:$M$104,"Paid")</f>
        <v>0</v>
      </c>
    </row>
    <row r="53" spans="1:13">
      <c r="A53" s="17">
        <f t="shared" si="7"/>
        <v>46252</v>
      </c>
      <c r="B53" s="14">
        <f>SUMIFS(Orders!$K$5:$K$154,Orders!$B$5:$B$154,$A53,Orders!$Q$5:$Q$154,"Paid",Orders!$R$5:$R$154,"Completed")</f>
        <v>0</v>
      </c>
      <c r="C53" s="14">
        <f>SUMIFS(Orders!$L$5:$L$154,Orders!$B$5:$B$154,$A53,Orders!$Q$5:$Q$154,"Paid",Orders!$R$5:$R$154,"Completed")</f>
        <v>0</v>
      </c>
      <c r="D53" s="14">
        <f>SUMIFS(Orders!$M$5:$M$154,Orders!$B$5:$B$154,$A53,Orders!$Q$5:$Q$154,"Paid",Orders!$R$5:$R$154,"Completed")</f>
        <v>0</v>
      </c>
      <c r="E53" s="14">
        <f>SUMIFS(Orders!$O$5:$O$154,Orders!$B$5:$B$154,$A53,Orders!$Q$5:$Q$154,"Paid",Orders!$R$5:$R$154,"Completed")</f>
        <v>0</v>
      </c>
      <c r="F53" s="14">
        <f>SUMIFS(Expenses!$J$5:$J$104,Expenses!$B$5:$B$104,$A53,Expenses!$L$5:$L$104,"Operating Expense",Expenses!$M$5:$M$104,"Paid")</f>
        <v>0</v>
      </c>
      <c r="G53" s="9">
        <f t="shared" si="4"/>
        <v>0</v>
      </c>
      <c r="H53" s="9">
        <f t="shared" si="5"/>
        <v>0</v>
      </c>
      <c r="I53" s="18">
        <f>SUMIFS(Orders!$U$5:$U$154,Orders!$B$5:$B$154,$A53)</f>
        <v>0</v>
      </c>
      <c r="J53" s="18">
        <f>SUMIFS(Orders!$H$5:$H$154,Orders!$B$5:$B$154,$A53,Orders!$Q$5:$Q$154,"Paid",Orders!$R$5:$R$154,"Completed")</f>
        <v>0</v>
      </c>
      <c r="K53" s="14">
        <f>SUMIFS(Orders!$M$5:$M$154,Orders!$B$5:$B$154,$A53,Orders!$P$5:$P$154,"Cash",Orders!$Q$5:$Q$154,"Paid",Orders!$R$5:$R$154,"Completed")</f>
        <v>0</v>
      </c>
      <c r="L53" s="14">
        <f t="shared" si="6"/>
        <v>0</v>
      </c>
      <c r="M53" s="14">
        <f>SUMIFS(Expenses!$J$5:$J$104,Expenses!$B$5:$B$104,$A53,Expenses!$M$5:$M$104,"Paid")</f>
        <v>0</v>
      </c>
    </row>
    <row r="54" spans="1:13">
      <c r="A54" s="17">
        <f t="shared" si="7"/>
        <v>46253</v>
      </c>
      <c r="B54" s="14">
        <f>SUMIFS(Orders!$K$5:$K$154,Orders!$B$5:$B$154,$A54,Orders!$Q$5:$Q$154,"Paid",Orders!$R$5:$R$154,"Completed")</f>
        <v>0</v>
      </c>
      <c r="C54" s="14">
        <f>SUMIFS(Orders!$L$5:$L$154,Orders!$B$5:$B$154,$A54,Orders!$Q$5:$Q$154,"Paid",Orders!$R$5:$R$154,"Completed")</f>
        <v>0</v>
      </c>
      <c r="D54" s="14">
        <f>SUMIFS(Orders!$M$5:$M$154,Orders!$B$5:$B$154,$A54,Orders!$Q$5:$Q$154,"Paid",Orders!$R$5:$R$154,"Completed")</f>
        <v>0</v>
      </c>
      <c r="E54" s="14">
        <f>SUMIFS(Orders!$O$5:$O$154,Orders!$B$5:$B$154,$A54,Orders!$Q$5:$Q$154,"Paid",Orders!$R$5:$R$154,"Completed")</f>
        <v>0</v>
      </c>
      <c r="F54" s="14">
        <f>SUMIFS(Expenses!$J$5:$J$104,Expenses!$B$5:$B$104,$A54,Expenses!$L$5:$L$104,"Operating Expense",Expenses!$M$5:$M$104,"Paid")</f>
        <v>0</v>
      </c>
      <c r="G54" s="9">
        <f t="shared" si="4"/>
        <v>0</v>
      </c>
      <c r="H54" s="9">
        <f t="shared" si="5"/>
        <v>0</v>
      </c>
      <c r="I54" s="18">
        <f>SUMIFS(Orders!$U$5:$U$154,Orders!$B$5:$B$154,$A54)</f>
        <v>0</v>
      </c>
      <c r="J54" s="18">
        <f>SUMIFS(Orders!$H$5:$H$154,Orders!$B$5:$B$154,$A54,Orders!$Q$5:$Q$154,"Paid",Orders!$R$5:$R$154,"Completed")</f>
        <v>0</v>
      </c>
      <c r="K54" s="14">
        <f>SUMIFS(Orders!$M$5:$M$154,Orders!$B$5:$B$154,$A54,Orders!$P$5:$P$154,"Cash",Orders!$Q$5:$Q$154,"Paid",Orders!$R$5:$R$154,"Completed")</f>
        <v>0</v>
      </c>
      <c r="L54" s="14">
        <f t="shared" si="6"/>
        <v>0</v>
      </c>
      <c r="M54" s="14">
        <f>SUMIFS(Expenses!$J$5:$J$104,Expenses!$B$5:$B$104,$A54,Expenses!$M$5:$M$104,"Paid")</f>
        <v>0</v>
      </c>
    </row>
    <row r="55" spans="1:13">
      <c r="A55" s="17">
        <f t="shared" si="7"/>
        <v>46254</v>
      </c>
      <c r="B55" s="14">
        <f>SUMIFS(Orders!$K$5:$K$154,Orders!$B$5:$B$154,$A55,Orders!$Q$5:$Q$154,"Paid",Orders!$R$5:$R$154,"Completed")</f>
        <v>0</v>
      </c>
      <c r="C55" s="14">
        <f>SUMIFS(Orders!$L$5:$L$154,Orders!$B$5:$B$154,$A55,Orders!$Q$5:$Q$154,"Paid",Orders!$R$5:$R$154,"Completed")</f>
        <v>0</v>
      </c>
      <c r="D55" s="14">
        <f>SUMIFS(Orders!$M$5:$M$154,Orders!$B$5:$B$154,$A55,Orders!$Q$5:$Q$154,"Paid",Orders!$R$5:$R$154,"Completed")</f>
        <v>0</v>
      </c>
      <c r="E55" s="14">
        <f>SUMIFS(Orders!$O$5:$O$154,Orders!$B$5:$B$154,$A55,Orders!$Q$5:$Q$154,"Paid",Orders!$R$5:$R$154,"Completed")</f>
        <v>0</v>
      </c>
      <c r="F55" s="14">
        <f>SUMIFS(Expenses!$J$5:$J$104,Expenses!$B$5:$B$104,$A55,Expenses!$L$5:$L$104,"Operating Expense",Expenses!$M$5:$M$104,"Paid")</f>
        <v>0</v>
      </c>
      <c r="G55" s="9">
        <f t="shared" si="4"/>
        <v>0</v>
      </c>
      <c r="H55" s="9">
        <f t="shared" si="5"/>
        <v>0</v>
      </c>
      <c r="I55" s="18">
        <f>SUMIFS(Orders!$U$5:$U$154,Orders!$B$5:$B$154,$A55)</f>
        <v>0</v>
      </c>
      <c r="J55" s="18">
        <f>SUMIFS(Orders!$H$5:$H$154,Orders!$B$5:$B$154,$A55,Orders!$Q$5:$Q$154,"Paid",Orders!$R$5:$R$154,"Completed")</f>
        <v>0</v>
      </c>
      <c r="K55" s="14">
        <f>SUMIFS(Orders!$M$5:$M$154,Orders!$B$5:$B$154,$A55,Orders!$P$5:$P$154,"Cash",Orders!$Q$5:$Q$154,"Paid",Orders!$R$5:$R$154,"Completed")</f>
        <v>0</v>
      </c>
      <c r="L55" s="14">
        <f t="shared" si="6"/>
        <v>0</v>
      </c>
      <c r="M55" s="14">
        <f>SUMIFS(Expenses!$J$5:$J$104,Expenses!$B$5:$B$104,$A55,Expenses!$M$5:$M$104,"Paid")</f>
        <v>0</v>
      </c>
    </row>
    <row r="56" spans="1:13">
      <c r="A56" s="17">
        <f t="shared" si="7"/>
        <v>46255</v>
      </c>
      <c r="B56" s="14">
        <f>SUMIFS(Orders!$K$5:$K$154,Orders!$B$5:$B$154,$A56,Orders!$Q$5:$Q$154,"Paid",Orders!$R$5:$R$154,"Completed")</f>
        <v>0</v>
      </c>
      <c r="C56" s="14">
        <f>SUMIFS(Orders!$L$5:$L$154,Orders!$B$5:$B$154,$A56,Orders!$Q$5:$Q$154,"Paid",Orders!$R$5:$R$154,"Completed")</f>
        <v>0</v>
      </c>
      <c r="D56" s="14">
        <f>SUMIFS(Orders!$M$5:$M$154,Orders!$B$5:$B$154,$A56,Orders!$Q$5:$Q$154,"Paid",Orders!$R$5:$R$154,"Completed")</f>
        <v>0</v>
      </c>
      <c r="E56" s="14">
        <f>SUMIFS(Orders!$O$5:$O$154,Orders!$B$5:$B$154,$A56,Orders!$Q$5:$Q$154,"Paid",Orders!$R$5:$R$154,"Completed")</f>
        <v>0</v>
      </c>
      <c r="F56" s="14">
        <f>SUMIFS(Expenses!$J$5:$J$104,Expenses!$B$5:$B$104,$A56,Expenses!$L$5:$L$104,"Operating Expense",Expenses!$M$5:$M$104,"Paid")</f>
        <v>0</v>
      </c>
      <c r="G56" s="9">
        <f t="shared" si="4"/>
        <v>0</v>
      </c>
      <c r="H56" s="9">
        <f t="shared" si="5"/>
        <v>0</v>
      </c>
      <c r="I56" s="18">
        <f>SUMIFS(Orders!$U$5:$U$154,Orders!$B$5:$B$154,$A56)</f>
        <v>0</v>
      </c>
      <c r="J56" s="18">
        <f>SUMIFS(Orders!$H$5:$H$154,Orders!$B$5:$B$154,$A56,Orders!$Q$5:$Q$154,"Paid",Orders!$R$5:$R$154,"Completed")</f>
        <v>0</v>
      </c>
      <c r="K56" s="14">
        <f>SUMIFS(Orders!$M$5:$M$154,Orders!$B$5:$B$154,$A56,Orders!$P$5:$P$154,"Cash",Orders!$Q$5:$Q$154,"Paid",Orders!$R$5:$R$154,"Completed")</f>
        <v>0</v>
      </c>
      <c r="L56" s="14">
        <f t="shared" si="6"/>
        <v>0</v>
      </c>
      <c r="M56" s="14">
        <f>SUMIFS(Expenses!$J$5:$J$104,Expenses!$B$5:$B$104,$A56,Expenses!$M$5:$M$104,"Paid")</f>
        <v>0</v>
      </c>
    </row>
    <row r="57" spans="1:13">
      <c r="A57" s="17">
        <f t="shared" si="7"/>
        <v>46256</v>
      </c>
      <c r="B57" s="14">
        <f>SUMIFS(Orders!$K$5:$K$154,Orders!$B$5:$B$154,$A57,Orders!$Q$5:$Q$154,"Paid",Orders!$R$5:$R$154,"Completed")</f>
        <v>0</v>
      </c>
      <c r="C57" s="14">
        <f>SUMIFS(Orders!$L$5:$L$154,Orders!$B$5:$B$154,$A57,Orders!$Q$5:$Q$154,"Paid",Orders!$R$5:$R$154,"Completed")</f>
        <v>0</v>
      </c>
      <c r="D57" s="14">
        <f>SUMIFS(Orders!$M$5:$M$154,Orders!$B$5:$B$154,$A57,Orders!$Q$5:$Q$154,"Paid",Orders!$R$5:$R$154,"Completed")</f>
        <v>0</v>
      </c>
      <c r="E57" s="14">
        <f>SUMIFS(Orders!$O$5:$O$154,Orders!$B$5:$B$154,$A57,Orders!$Q$5:$Q$154,"Paid",Orders!$R$5:$R$154,"Completed")</f>
        <v>0</v>
      </c>
      <c r="F57" s="14">
        <f>SUMIFS(Expenses!$J$5:$J$104,Expenses!$B$5:$B$104,$A57,Expenses!$L$5:$L$104,"Operating Expense",Expenses!$M$5:$M$104,"Paid")</f>
        <v>0</v>
      </c>
      <c r="G57" s="9">
        <f t="shared" si="4"/>
        <v>0</v>
      </c>
      <c r="H57" s="9">
        <f t="shared" si="5"/>
        <v>0</v>
      </c>
      <c r="I57" s="18">
        <f>SUMIFS(Orders!$U$5:$U$154,Orders!$B$5:$B$154,$A57)</f>
        <v>0</v>
      </c>
      <c r="J57" s="18">
        <f>SUMIFS(Orders!$H$5:$H$154,Orders!$B$5:$B$154,$A57,Orders!$Q$5:$Q$154,"Paid",Orders!$R$5:$R$154,"Completed")</f>
        <v>0</v>
      </c>
      <c r="K57" s="14">
        <f>SUMIFS(Orders!$M$5:$M$154,Orders!$B$5:$B$154,$A57,Orders!$P$5:$P$154,"Cash",Orders!$Q$5:$Q$154,"Paid",Orders!$R$5:$R$154,"Completed")</f>
        <v>0</v>
      </c>
      <c r="L57" s="14">
        <f t="shared" si="6"/>
        <v>0</v>
      </c>
      <c r="M57" s="14">
        <f>SUMIFS(Expenses!$J$5:$J$104,Expenses!$B$5:$B$104,$A57,Expenses!$M$5:$M$104,"Paid")</f>
        <v>0</v>
      </c>
    </row>
    <row r="58" spans="1:13">
      <c r="A58" s="17">
        <f t="shared" si="7"/>
        <v>46257</v>
      </c>
      <c r="B58" s="14">
        <f>SUMIFS(Orders!$K$5:$K$154,Orders!$B$5:$B$154,$A58,Orders!$Q$5:$Q$154,"Paid",Orders!$R$5:$R$154,"Completed")</f>
        <v>0</v>
      </c>
      <c r="C58" s="14">
        <f>SUMIFS(Orders!$L$5:$L$154,Orders!$B$5:$B$154,$A58,Orders!$Q$5:$Q$154,"Paid",Orders!$R$5:$R$154,"Completed")</f>
        <v>0</v>
      </c>
      <c r="D58" s="14">
        <f>SUMIFS(Orders!$M$5:$M$154,Orders!$B$5:$B$154,$A58,Orders!$Q$5:$Q$154,"Paid",Orders!$R$5:$R$154,"Completed")</f>
        <v>0</v>
      </c>
      <c r="E58" s="14">
        <f>SUMIFS(Orders!$O$5:$O$154,Orders!$B$5:$B$154,$A58,Orders!$Q$5:$Q$154,"Paid",Orders!$R$5:$R$154,"Completed")</f>
        <v>0</v>
      </c>
      <c r="F58" s="14">
        <f>SUMIFS(Expenses!$J$5:$J$104,Expenses!$B$5:$B$104,$A58,Expenses!$L$5:$L$104,"Operating Expense",Expenses!$M$5:$M$104,"Paid")</f>
        <v>0</v>
      </c>
      <c r="G58" s="9">
        <f t="shared" si="4"/>
        <v>0</v>
      </c>
      <c r="H58" s="9">
        <f t="shared" si="5"/>
        <v>0</v>
      </c>
      <c r="I58" s="18">
        <f>SUMIFS(Orders!$U$5:$U$154,Orders!$B$5:$B$154,$A58)</f>
        <v>0</v>
      </c>
      <c r="J58" s="18">
        <f>SUMIFS(Orders!$H$5:$H$154,Orders!$B$5:$B$154,$A58,Orders!$Q$5:$Q$154,"Paid",Orders!$R$5:$R$154,"Completed")</f>
        <v>0</v>
      </c>
      <c r="K58" s="14">
        <f>SUMIFS(Orders!$M$5:$M$154,Orders!$B$5:$B$154,$A58,Orders!$P$5:$P$154,"Cash",Orders!$Q$5:$Q$154,"Paid",Orders!$R$5:$R$154,"Completed")</f>
        <v>0</v>
      </c>
      <c r="L58" s="14">
        <f t="shared" si="6"/>
        <v>0</v>
      </c>
      <c r="M58" s="14">
        <f>SUMIFS(Expenses!$J$5:$J$104,Expenses!$B$5:$B$104,$A58,Expenses!$M$5:$M$104,"Paid")</f>
        <v>0</v>
      </c>
    </row>
    <row r="59" spans="1:13">
      <c r="A59" s="17">
        <f t="shared" si="7"/>
        <v>46258</v>
      </c>
      <c r="B59" s="14">
        <f>SUMIFS(Orders!$K$5:$K$154,Orders!$B$5:$B$154,$A59,Orders!$Q$5:$Q$154,"Paid",Orders!$R$5:$R$154,"Completed")</f>
        <v>0</v>
      </c>
      <c r="C59" s="14">
        <f>SUMIFS(Orders!$L$5:$L$154,Orders!$B$5:$B$154,$A59,Orders!$Q$5:$Q$154,"Paid",Orders!$R$5:$R$154,"Completed")</f>
        <v>0</v>
      </c>
      <c r="D59" s="14">
        <f>SUMIFS(Orders!$M$5:$M$154,Orders!$B$5:$B$154,$A59,Orders!$Q$5:$Q$154,"Paid",Orders!$R$5:$R$154,"Completed")</f>
        <v>0</v>
      </c>
      <c r="E59" s="14">
        <f>SUMIFS(Orders!$O$5:$O$154,Orders!$B$5:$B$154,$A59,Orders!$Q$5:$Q$154,"Paid",Orders!$R$5:$R$154,"Completed")</f>
        <v>0</v>
      </c>
      <c r="F59" s="14">
        <f>SUMIFS(Expenses!$J$5:$J$104,Expenses!$B$5:$B$104,$A59,Expenses!$L$5:$L$104,"Operating Expense",Expenses!$M$5:$M$104,"Paid")</f>
        <v>0</v>
      </c>
      <c r="G59" s="9">
        <f t="shared" si="4"/>
        <v>0</v>
      </c>
      <c r="H59" s="9">
        <f t="shared" si="5"/>
        <v>0</v>
      </c>
      <c r="I59" s="18">
        <f>SUMIFS(Orders!$U$5:$U$154,Orders!$B$5:$B$154,$A59)</f>
        <v>0</v>
      </c>
      <c r="J59" s="18">
        <f>SUMIFS(Orders!$H$5:$H$154,Orders!$B$5:$B$154,$A59,Orders!$Q$5:$Q$154,"Paid",Orders!$R$5:$R$154,"Completed")</f>
        <v>0</v>
      </c>
      <c r="K59" s="14">
        <f>SUMIFS(Orders!$M$5:$M$154,Orders!$B$5:$B$154,$A59,Orders!$P$5:$P$154,"Cash",Orders!$Q$5:$Q$154,"Paid",Orders!$R$5:$R$154,"Completed")</f>
        <v>0</v>
      </c>
      <c r="L59" s="14">
        <f t="shared" si="6"/>
        <v>0</v>
      </c>
      <c r="M59" s="14">
        <f>SUMIFS(Expenses!$J$5:$J$104,Expenses!$B$5:$B$104,$A59,Expenses!$M$5:$M$104,"Paid")</f>
        <v>0</v>
      </c>
    </row>
    <row r="60" spans="1:13">
      <c r="A60" s="17">
        <f t="shared" si="7"/>
        <v>46259</v>
      </c>
      <c r="B60" s="14">
        <f>SUMIFS(Orders!$K$5:$K$154,Orders!$B$5:$B$154,$A60,Orders!$Q$5:$Q$154,"Paid",Orders!$R$5:$R$154,"Completed")</f>
        <v>0</v>
      </c>
      <c r="C60" s="14">
        <f>SUMIFS(Orders!$L$5:$L$154,Orders!$B$5:$B$154,$A60,Orders!$Q$5:$Q$154,"Paid",Orders!$R$5:$R$154,"Completed")</f>
        <v>0</v>
      </c>
      <c r="D60" s="14">
        <f>SUMIFS(Orders!$M$5:$M$154,Orders!$B$5:$B$154,$A60,Orders!$Q$5:$Q$154,"Paid",Orders!$R$5:$R$154,"Completed")</f>
        <v>0</v>
      </c>
      <c r="E60" s="14">
        <f>SUMIFS(Orders!$O$5:$O$154,Orders!$B$5:$B$154,$A60,Orders!$Q$5:$Q$154,"Paid",Orders!$R$5:$R$154,"Completed")</f>
        <v>0</v>
      </c>
      <c r="F60" s="14">
        <f>SUMIFS(Expenses!$J$5:$J$104,Expenses!$B$5:$B$104,$A60,Expenses!$L$5:$L$104,"Operating Expense",Expenses!$M$5:$M$104,"Paid")</f>
        <v>0</v>
      </c>
      <c r="G60" s="9">
        <f t="shared" si="4"/>
        <v>0</v>
      </c>
      <c r="H60" s="9">
        <f t="shared" si="5"/>
        <v>0</v>
      </c>
      <c r="I60" s="18">
        <f>SUMIFS(Orders!$U$5:$U$154,Orders!$B$5:$B$154,$A60)</f>
        <v>0</v>
      </c>
      <c r="J60" s="18">
        <f>SUMIFS(Orders!$H$5:$H$154,Orders!$B$5:$B$154,$A60,Orders!$Q$5:$Q$154,"Paid",Orders!$R$5:$R$154,"Completed")</f>
        <v>0</v>
      </c>
      <c r="K60" s="14">
        <f>SUMIFS(Orders!$M$5:$M$154,Orders!$B$5:$B$154,$A60,Orders!$P$5:$P$154,"Cash",Orders!$Q$5:$Q$154,"Paid",Orders!$R$5:$R$154,"Completed")</f>
        <v>0</v>
      </c>
      <c r="L60" s="14">
        <f t="shared" si="6"/>
        <v>0</v>
      </c>
      <c r="M60" s="14">
        <f>SUMIFS(Expenses!$J$5:$J$104,Expenses!$B$5:$B$104,$A60,Expenses!$M$5:$M$104,"Paid")</f>
        <v>0</v>
      </c>
    </row>
    <row r="61" spans="1:13">
      <c r="A61" s="17">
        <f t="shared" si="7"/>
        <v>46260</v>
      </c>
      <c r="B61" s="14">
        <f>SUMIFS(Orders!$K$5:$K$154,Orders!$B$5:$B$154,$A61,Orders!$Q$5:$Q$154,"Paid",Orders!$R$5:$R$154,"Completed")</f>
        <v>0</v>
      </c>
      <c r="C61" s="14">
        <f>SUMIFS(Orders!$L$5:$L$154,Orders!$B$5:$B$154,$A61,Orders!$Q$5:$Q$154,"Paid",Orders!$R$5:$R$154,"Completed")</f>
        <v>0</v>
      </c>
      <c r="D61" s="14">
        <f>SUMIFS(Orders!$M$5:$M$154,Orders!$B$5:$B$154,$A61,Orders!$Q$5:$Q$154,"Paid",Orders!$R$5:$R$154,"Completed")</f>
        <v>0</v>
      </c>
      <c r="E61" s="14">
        <f>SUMIFS(Orders!$O$5:$O$154,Orders!$B$5:$B$154,$A61,Orders!$Q$5:$Q$154,"Paid",Orders!$R$5:$R$154,"Completed")</f>
        <v>0</v>
      </c>
      <c r="F61" s="14">
        <f>SUMIFS(Expenses!$J$5:$J$104,Expenses!$B$5:$B$104,$A61,Expenses!$L$5:$L$104,"Operating Expense",Expenses!$M$5:$M$104,"Paid")</f>
        <v>0</v>
      </c>
      <c r="G61" s="9">
        <f t="shared" si="4"/>
        <v>0</v>
      </c>
      <c r="H61" s="9">
        <f t="shared" si="5"/>
        <v>0</v>
      </c>
      <c r="I61" s="18">
        <f>SUMIFS(Orders!$U$5:$U$154,Orders!$B$5:$B$154,$A61)</f>
        <v>0</v>
      </c>
      <c r="J61" s="18">
        <f>SUMIFS(Orders!$H$5:$H$154,Orders!$B$5:$B$154,$A61,Orders!$Q$5:$Q$154,"Paid",Orders!$R$5:$R$154,"Completed")</f>
        <v>0</v>
      </c>
      <c r="K61" s="14">
        <f>SUMIFS(Orders!$M$5:$M$154,Orders!$B$5:$B$154,$A61,Orders!$P$5:$P$154,"Cash",Orders!$Q$5:$Q$154,"Paid",Orders!$R$5:$R$154,"Completed")</f>
        <v>0</v>
      </c>
      <c r="L61" s="14">
        <f t="shared" si="6"/>
        <v>0</v>
      </c>
      <c r="M61" s="14">
        <f>SUMIFS(Expenses!$J$5:$J$104,Expenses!$B$5:$B$104,$A61,Expenses!$M$5:$M$104,"Paid")</f>
        <v>0</v>
      </c>
    </row>
    <row r="62" spans="1:13">
      <c r="A62" s="17">
        <f t="shared" si="7"/>
        <v>46261</v>
      </c>
      <c r="B62" s="14">
        <f>SUMIFS(Orders!$K$5:$K$154,Orders!$B$5:$B$154,$A62,Orders!$Q$5:$Q$154,"Paid",Orders!$R$5:$R$154,"Completed")</f>
        <v>0</v>
      </c>
      <c r="C62" s="14">
        <f>SUMIFS(Orders!$L$5:$L$154,Orders!$B$5:$B$154,$A62,Orders!$Q$5:$Q$154,"Paid",Orders!$R$5:$R$154,"Completed")</f>
        <v>0</v>
      </c>
      <c r="D62" s="14">
        <f>SUMIFS(Orders!$M$5:$M$154,Orders!$B$5:$B$154,$A62,Orders!$Q$5:$Q$154,"Paid",Orders!$R$5:$R$154,"Completed")</f>
        <v>0</v>
      </c>
      <c r="E62" s="14">
        <f>SUMIFS(Orders!$O$5:$O$154,Orders!$B$5:$B$154,$A62,Orders!$Q$5:$Q$154,"Paid",Orders!$R$5:$R$154,"Completed")</f>
        <v>0</v>
      </c>
      <c r="F62" s="14">
        <f>SUMIFS(Expenses!$J$5:$J$104,Expenses!$B$5:$B$104,$A62,Expenses!$L$5:$L$104,"Operating Expense",Expenses!$M$5:$M$104,"Paid")</f>
        <v>0</v>
      </c>
      <c r="G62" s="9">
        <f t="shared" si="4"/>
        <v>0</v>
      </c>
      <c r="H62" s="9">
        <f t="shared" si="5"/>
        <v>0</v>
      </c>
      <c r="I62" s="18">
        <f>SUMIFS(Orders!$U$5:$U$154,Orders!$B$5:$B$154,$A62)</f>
        <v>0</v>
      </c>
      <c r="J62" s="18">
        <f>SUMIFS(Orders!$H$5:$H$154,Orders!$B$5:$B$154,$A62,Orders!$Q$5:$Q$154,"Paid",Orders!$R$5:$R$154,"Completed")</f>
        <v>0</v>
      </c>
      <c r="K62" s="14">
        <f>SUMIFS(Orders!$M$5:$M$154,Orders!$B$5:$B$154,$A62,Orders!$P$5:$P$154,"Cash",Orders!$Q$5:$Q$154,"Paid",Orders!$R$5:$R$154,"Completed")</f>
        <v>0</v>
      </c>
      <c r="L62" s="14">
        <f t="shared" si="6"/>
        <v>0</v>
      </c>
      <c r="M62" s="14">
        <f>SUMIFS(Expenses!$J$5:$J$104,Expenses!$B$5:$B$104,$A62,Expenses!$M$5:$M$104,"Paid")</f>
        <v>0</v>
      </c>
    </row>
    <row r="63" spans="1:13">
      <c r="A63" s="17">
        <f t="shared" si="7"/>
        <v>46262</v>
      </c>
      <c r="B63" s="14">
        <f>SUMIFS(Orders!$K$5:$K$154,Orders!$B$5:$B$154,$A63,Orders!$Q$5:$Q$154,"Paid",Orders!$R$5:$R$154,"Completed")</f>
        <v>0</v>
      </c>
      <c r="C63" s="14">
        <f>SUMIFS(Orders!$L$5:$L$154,Orders!$B$5:$B$154,$A63,Orders!$Q$5:$Q$154,"Paid",Orders!$R$5:$R$154,"Completed")</f>
        <v>0</v>
      </c>
      <c r="D63" s="14">
        <f>SUMIFS(Orders!$M$5:$M$154,Orders!$B$5:$B$154,$A63,Orders!$Q$5:$Q$154,"Paid",Orders!$R$5:$R$154,"Completed")</f>
        <v>0</v>
      </c>
      <c r="E63" s="14">
        <f>SUMIFS(Orders!$O$5:$O$154,Orders!$B$5:$B$154,$A63,Orders!$Q$5:$Q$154,"Paid",Orders!$R$5:$R$154,"Completed")</f>
        <v>0</v>
      </c>
      <c r="F63" s="14">
        <f>SUMIFS(Expenses!$J$5:$J$104,Expenses!$B$5:$B$104,$A63,Expenses!$L$5:$L$104,"Operating Expense",Expenses!$M$5:$M$104,"Paid")</f>
        <v>0</v>
      </c>
      <c r="G63" s="9">
        <f t="shared" si="4"/>
        <v>0</v>
      </c>
      <c r="H63" s="9">
        <f t="shared" si="5"/>
        <v>0</v>
      </c>
      <c r="I63" s="18">
        <f>SUMIFS(Orders!$U$5:$U$154,Orders!$B$5:$B$154,$A63)</f>
        <v>0</v>
      </c>
      <c r="J63" s="18">
        <f>SUMIFS(Orders!$H$5:$H$154,Orders!$B$5:$B$154,$A63,Orders!$Q$5:$Q$154,"Paid",Orders!$R$5:$R$154,"Completed")</f>
        <v>0</v>
      </c>
      <c r="K63" s="14">
        <f>SUMIFS(Orders!$M$5:$M$154,Orders!$B$5:$B$154,$A63,Orders!$P$5:$P$154,"Cash",Orders!$Q$5:$Q$154,"Paid",Orders!$R$5:$R$154,"Completed")</f>
        <v>0</v>
      </c>
      <c r="L63" s="14">
        <f t="shared" si="6"/>
        <v>0</v>
      </c>
      <c r="M63" s="14">
        <f>SUMIFS(Expenses!$J$5:$J$104,Expenses!$B$5:$B$104,$A63,Expenses!$M$5:$M$104,"Paid")</f>
        <v>0</v>
      </c>
    </row>
    <row r="64" spans="1:13">
      <c r="A64" s="17">
        <f t="shared" si="7"/>
        <v>46263</v>
      </c>
      <c r="B64" s="14">
        <f>SUMIFS(Orders!$K$5:$K$154,Orders!$B$5:$B$154,$A64,Orders!$Q$5:$Q$154,"Paid",Orders!$R$5:$R$154,"Completed")</f>
        <v>0</v>
      </c>
      <c r="C64" s="14">
        <f>SUMIFS(Orders!$L$5:$L$154,Orders!$B$5:$B$154,$A64,Orders!$Q$5:$Q$154,"Paid",Orders!$R$5:$R$154,"Completed")</f>
        <v>0</v>
      </c>
      <c r="D64" s="14">
        <f>SUMIFS(Orders!$M$5:$M$154,Orders!$B$5:$B$154,$A64,Orders!$Q$5:$Q$154,"Paid",Orders!$R$5:$R$154,"Completed")</f>
        <v>0</v>
      </c>
      <c r="E64" s="14">
        <f>SUMIFS(Orders!$O$5:$O$154,Orders!$B$5:$B$154,$A64,Orders!$Q$5:$Q$154,"Paid",Orders!$R$5:$R$154,"Completed")</f>
        <v>0</v>
      </c>
      <c r="F64" s="14">
        <f>SUMIFS(Expenses!$J$5:$J$104,Expenses!$B$5:$B$104,$A64,Expenses!$L$5:$L$104,"Operating Expense",Expenses!$M$5:$M$104,"Paid")</f>
        <v>0</v>
      </c>
      <c r="G64" s="9">
        <f t="shared" si="4"/>
        <v>0</v>
      </c>
      <c r="H64" s="9">
        <f t="shared" si="5"/>
        <v>0</v>
      </c>
      <c r="I64" s="18">
        <f>SUMIFS(Orders!$U$5:$U$154,Orders!$B$5:$B$154,$A64)</f>
        <v>0</v>
      </c>
      <c r="J64" s="18">
        <f>SUMIFS(Orders!$H$5:$H$154,Orders!$B$5:$B$154,$A64,Orders!$Q$5:$Q$154,"Paid",Orders!$R$5:$R$154,"Completed")</f>
        <v>0</v>
      </c>
      <c r="K64" s="14">
        <f>SUMIFS(Orders!$M$5:$M$154,Orders!$B$5:$B$154,$A64,Orders!$P$5:$P$154,"Cash",Orders!$Q$5:$Q$154,"Paid",Orders!$R$5:$R$154,"Completed")</f>
        <v>0</v>
      </c>
      <c r="L64" s="14">
        <f t="shared" si="6"/>
        <v>0</v>
      </c>
      <c r="M64" s="14">
        <f>SUMIFS(Expenses!$J$5:$J$104,Expenses!$B$5:$B$104,$A64,Expenses!$M$5:$M$104,"Paid")</f>
        <v>0</v>
      </c>
    </row>
    <row r="65" spans="1:13">
      <c r="A65" s="17">
        <f t="shared" si="7"/>
        <v>46264</v>
      </c>
      <c r="B65" s="14">
        <f>SUMIFS(Orders!$K$5:$K$154,Orders!$B$5:$B$154,$A65,Orders!$Q$5:$Q$154,"Paid",Orders!$R$5:$R$154,"Completed")</f>
        <v>0</v>
      </c>
      <c r="C65" s="14">
        <f>SUMIFS(Orders!$L$5:$L$154,Orders!$B$5:$B$154,$A65,Orders!$Q$5:$Q$154,"Paid",Orders!$R$5:$R$154,"Completed")</f>
        <v>0</v>
      </c>
      <c r="D65" s="14">
        <f>SUMIFS(Orders!$M$5:$M$154,Orders!$B$5:$B$154,$A65,Orders!$Q$5:$Q$154,"Paid",Orders!$R$5:$R$154,"Completed")</f>
        <v>0</v>
      </c>
      <c r="E65" s="14">
        <f>SUMIFS(Orders!$O$5:$O$154,Orders!$B$5:$B$154,$A65,Orders!$Q$5:$Q$154,"Paid",Orders!$R$5:$R$154,"Completed")</f>
        <v>0</v>
      </c>
      <c r="F65" s="14">
        <f>SUMIFS(Expenses!$J$5:$J$104,Expenses!$B$5:$B$104,$A65,Expenses!$L$5:$L$104,"Operating Expense",Expenses!$M$5:$M$104,"Paid")</f>
        <v>0</v>
      </c>
      <c r="G65" s="9">
        <f t="shared" si="4"/>
        <v>0</v>
      </c>
      <c r="H65" s="9">
        <f t="shared" si="5"/>
        <v>0</v>
      </c>
      <c r="I65" s="18">
        <f>SUMIFS(Orders!$U$5:$U$154,Orders!$B$5:$B$154,$A65)</f>
        <v>0</v>
      </c>
      <c r="J65" s="18">
        <f>SUMIFS(Orders!$H$5:$H$154,Orders!$B$5:$B$154,$A65,Orders!$Q$5:$Q$154,"Paid",Orders!$R$5:$R$154,"Completed")</f>
        <v>0</v>
      </c>
      <c r="K65" s="14">
        <f>SUMIFS(Orders!$M$5:$M$154,Orders!$B$5:$B$154,$A65,Orders!$P$5:$P$154,"Cash",Orders!$Q$5:$Q$154,"Paid",Orders!$R$5:$R$154,"Completed")</f>
        <v>0</v>
      </c>
      <c r="L65" s="14">
        <f t="shared" si="6"/>
        <v>0</v>
      </c>
      <c r="M65" s="14">
        <f>SUMIFS(Expenses!$J$5:$J$104,Expenses!$B$5:$B$104,$A65,Expenses!$M$5:$M$104,"Paid")</f>
        <v>0</v>
      </c>
    </row>
    <row r="66" spans="1:13">
      <c r="A66" s="17">
        <f t="shared" si="7"/>
        <v>46265</v>
      </c>
      <c r="B66" s="14">
        <f>SUMIFS(Orders!$K$5:$K$154,Orders!$B$5:$B$154,$A66,Orders!$Q$5:$Q$154,"Paid",Orders!$R$5:$R$154,"Completed")</f>
        <v>0</v>
      </c>
      <c r="C66" s="14">
        <f>SUMIFS(Orders!$L$5:$L$154,Orders!$B$5:$B$154,$A66,Orders!$Q$5:$Q$154,"Paid",Orders!$R$5:$R$154,"Completed")</f>
        <v>0</v>
      </c>
      <c r="D66" s="14">
        <f>SUMIFS(Orders!$M$5:$M$154,Orders!$B$5:$B$154,$A66,Orders!$Q$5:$Q$154,"Paid",Orders!$R$5:$R$154,"Completed")</f>
        <v>0</v>
      </c>
      <c r="E66" s="14">
        <f>SUMIFS(Orders!$O$5:$O$154,Orders!$B$5:$B$154,$A66,Orders!$Q$5:$Q$154,"Paid",Orders!$R$5:$R$154,"Completed")</f>
        <v>0</v>
      </c>
      <c r="F66" s="14">
        <f>SUMIFS(Expenses!$J$5:$J$104,Expenses!$B$5:$B$104,$A66,Expenses!$L$5:$L$104,"Operating Expense",Expenses!$M$5:$M$104,"Paid")</f>
        <v>0</v>
      </c>
      <c r="G66" s="9">
        <f t="shared" si="4"/>
        <v>0</v>
      </c>
      <c r="H66" s="9">
        <f t="shared" si="5"/>
        <v>0</v>
      </c>
      <c r="I66" s="18">
        <f>SUMIFS(Orders!$U$5:$U$154,Orders!$B$5:$B$154,$A66)</f>
        <v>0</v>
      </c>
      <c r="J66" s="18">
        <f>SUMIFS(Orders!$H$5:$H$154,Orders!$B$5:$B$154,$A66,Orders!$Q$5:$Q$154,"Paid",Orders!$R$5:$R$154,"Completed")</f>
        <v>0</v>
      </c>
      <c r="K66" s="14">
        <f>SUMIFS(Orders!$M$5:$M$154,Orders!$B$5:$B$154,$A66,Orders!$P$5:$P$154,"Cash",Orders!$Q$5:$Q$154,"Paid",Orders!$R$5:$R$154,"Completed")</f>
        <v>0</v>
      </c>
      <c r="L66" s="14">
        <f t="shared" si="6"/>
        <v>0</v>
      </c>
      <c r="M66" s="14">
        <f>SUMIFS(Expenses!$J$5:$J$104,Expenses!$B$5:$B$104,$A66,Expenses!$M$5:$M$104,"Paid")</f>
        <v>0</v>
      </c>
    </row>
    <row r="67" spans="1:13">
      <c r="A67" s="17">
        <f t="shared" si="7"/>
        <v>46266</v>
      </c>
      <c r="B67" s="14">
        <f>SUMIFS(Orders!$K$5:$K$154,Orders!$B$5:$B$154,$A67,Orders!$Q$5:$Q$154,"Paid",Orders!$R$5:$R$154,"Completed")</f>
        <v>0</v>
      </c>
      <c r="C67" s="14">
        <f>SUMIFS(Orders!$L$5:$L$154,Orders!$B$5:$B$154,$A67,Orders!$Q$5:$Q$154,"Paid",Orders!$R$5:$R$154,"Completed")</f>
        <v>0</v>
      </c>
      <c r="D67" s="14">
        <f>SUMIFS(Orders!$M$5:$M$154,Orders!$B$5:$B$154,$A67,Orders!$Q$5:$Q$154,"Paid",Orders!$R$5:$R$154,"Completed")</f>
        <v>0</v>
      </c>
      <c r="E67" s="14">
        <f>SUMIFS(Orders!$O$5:$O$154,Orders!$B$5:$B$154,$A67,Orders!$Q$5:$Q$154,"Paid",Orders!$R$5:$R$154,"Completed")</f>
        <v>0</v>
      </c>
      <c r="F67" s="14">
        <f>SUMIFS(Expenses!$J$5:$J$104,Expenses!$B$5:$B$104,$A67,Expenses!$L$5:$L$104,"Operating Expense",Expenses!$M$5:$M$104,"Paid")</f>
        <v>0</v>
      </c>
      <c r="G67" s="9">
        <f t="shared" si="4"/>
        <v>0</v>
      </c>
      <c r="H67" s="9">
        <f t="shared" si="5"/>
        <v>0</v>
      </c>
      <c r="I67" s="18">
        <f>SUMIFS(Orders!$U$5:$U$154,Orders!$B$5:$B$154,$A67)</f>
        <v>0</v>
      </c>
      <c r="J67" s="18">
        <f>SUMIFS(Orders!$H$5:$H$154,Orders!$B$5:$B$154,$A67,Orders!$Q$5:$Q$154,"Paid",Orders!$R$5:$R$154,"Completed")</f>
        <v>0</v>
      </c>
      <c r="K67" s="14">
        <f>SUMIFS(Orders!$M$5:$M$154,Orders!$B$5:$B$154,$A67,Orders!$P$5:$P$154,"Cash",Orders!$Q$5:$Q$154,"Paid",Orders!$R$5:$R$154,"Completed")</f>
        <v>0</v>
      </c>
      <c r="L67" s="14">
        <f t="shared" si="6"/>
        <v>0</v>
      </c>
      <c r="M67" s="14">
        <f>SUMIFS(Expenses!$J$5:$J$104,Expenses!$B$5:$B$104,$A67,Expenses!$M$5:$M$104,"Paid")</f>
        <v>0</v>
      </c>
    </row>
    <row r="68" spans="1:13">
      <c r="A68" s="17">
        <f t="shared" si="7"/>
        <v>46267</v>
      </c>
      <c r="B68" s="14">
        <f>SUMIFS(Orders!$K$5:$K$154,Orders!$B$5:$B$154,$A68,Orders!$Q$5:$Q$154,"Paid",Orders!$R$5:$R$154,"Completed")</f>
        <v>0</v>
      </c>
      <c r="C68" s="14">
        <f>SUMIFS(Orders!$L$5:$L$154,Orders!$B$5:$B$154,$A68,Orders!$Q$5:$Q$154,"Paid",Orders!$R$5:$R$154,"Completed")</f>
        <v>0</v>
      </c>
      <c r="D68" s="14">
        <f>SUMIFS(Orders!$M$5:$M$154,Orders!$B$5:$B$154,$A68,Orders!$Q$5:$Q$154,"Paid",Orders!$R$5:$R$154,"Completed")</f>
        <v>0</v>
      </c>
      <c r="E68" s="14">
        <f>SUMIFS(Orders!$O$5:$O$154,Orders!$B$5:$B$154,$A68,Orders!$Q$5:$Q$154,"Paid",Orders!$R$5:$R$154,"Completed")</f>
        <v>0</v>
      </c>
      <c r="F68" s="14">
        <f>SUMIFS(Expenses!$J$5:$J$104,Expenses!$B$5:$B$104,$A68,Expenses!$L$5:$L$104,"Operating Expense",Expenses!$M$5:$M$104,"Paid")</f>
        <v>0</v>
      </c>
      <c r="G68" s="9">
        <f t="shared" si="4"/>
        <v>0</v>
      </c>
      <c r="H68" s="9">
        <f t="shared" si="5"/>
        <v>0</v>
      </c>
      <c r="I68" s="18">
        <f>SUMIFS(Orders!$U$5:$U$154,Orders!$B$5:$B$154,$A68)</f>
        <v>0</v>
      </c>
      <c r="J68" s="18">
        <f>SUMIFS(Orders!$H$5:$H$154,Orders!$B$5:$B$154,$A68,Orders!$Q$5:$Q$154,"Paid",Orders!$R$5:$R$154,"Completed")</f>
        <v>0</v>
      </c>
      <c r="K68" s="14">
        <f>SUMIFS(Orders!$M$5:$M$154,Orders!$B$5:$B$154,$A68,Orders!$P$5:$P$154,"Cash",Orders!$Q$5:$Q$154,"Paid",Orders!$R$5:$R$154,"Completed")</f>
        <v>0</v>
      </c>
      <c r="L68" s="14">
        <f t="shared" si="6"/>
        <v>0</v>
      </c>
      <c r="M68" s="14">
        <f>SUMIFS(Expenses!$J$5:$J$104,Expenses!$B$5:$B$104,$A68,Expenses!$M$5:$M$104,"Paid")</f>
        <v>0</v>
      </c>
    </row>
    <row r="69" spans="1:13">
      <c r="A69" s="17">
        <f t="shared" si="7"/>
        <v>46268</v>
      </c>
      <c r="B69" s="14">
        <f>SUMIFS(Orders!$K$5:$K$154,Orders!$B$5:$B$154,$A69,Orders!$Q$5:$Q$154,"Paid",Orders!$R$5:$R$154,"Completed")</f>
        <v>0</v>
      </c>
      <c r="C69" s="14">
        <f>SUMIFS(Orders!$L$5:$L$154,Orders!$B$5:$B$154,$A69,Orders!$Q$5:$Q$154,"Paid",Orders!$R$5:$R$154,"Completed")</f>
        <v>0</v>
      </c>
      <c r="D69" s="14">
        <f>SUMIFS(Orders!$M$5:$M$154,Orders!$B$5:$B$154,$A69,Orders!$Q$5:$Q$154,"Paid",Orders!$R$5:$R$154,"Completed")</f>
        <v>0</v>
      </c>
      <c r="E69" s="14">
        <f>SUMIFS(Orders!$O$5:$O$154,Orders!$B$5:$B$154,$A69,Orders!$Q$5:$Q$154,"Paid",Orders!$R$5:$R$154,"Completed")</f>
        <v>0</v>
      </c>
      <c r="F69" s="14">
        <f>SUMIFS(Expenses!$J$5:$J$104,Expenses!$B$5:$B$104,$A69,Expenses!$L$5:$L$104,"Operating Expense",Expenses!$M$5:$M$104,"Paid")</f>
        <v>0</v>
      </c>
      <c r="G69" s="9">
        <f t="shared" ref="G69:G100" si="8">D69-E69</f>
        <v>0</v>
      </c>
      <c r="H69" s="9">
        <f t="shared" ref="H69:H100" si="9">G69-F69</f>
        <v>0</v>
      </c>
      <c r="I69" s="18">
        <f>SUMIFS(Orders!$U$5:$U$154,Orders!$B$5:$B$154,$A69)</f>
        <v>0</v>
      </c>
      <c r="J69" s="18">
        <f>SUMIFS(Orders!$H$5:$H$154,Orders!$B$5:$B$154,$A69,Orders!$Q$5:$Q$154,"Paid",Orders!$R$5:$R$154,"Completed")</f>
        <v>0</v>
      </c>
      <c r="K69" s="14">
        <f>SUMIFS(Orders!$M$5:$M$154,Orders!$B$5:$B$154,$A69,Orders!$P$5:$P$154,"Cash",Orders!$Q$5:$Q$154,"Paid",Orders!$R$5:$R$154,"Completed")</f>
        <v>0</v>
      </c>
      <c r="L69" s="14">
        <f t="shared" ref="L69:L100" si="10">D69-K69</f>
        <v>0</v>
      </c>
      <c r="M69" s="14">
        <f>SUMIFS(Expenses!$J$5:$J$104,Expenses!$B$5:$B$104,$A69,Expenses!$M$5:$M$104,"Paid")</f>
        <v>0</v>
      </c>
    </row>
    <row r="70" spans="1:13">
      <c r="A70" s="17">
        <f t="shared" ref="A70:A101" si="11">A69+1</f>
        <v>46269</v>
      </c>
      <c r="B70" s="14">
        <f>SUMIFS(Orders!$K$5:$K$154,Orders!$B$5:$B$154,$A70,Orders!$Q$5:$Q$154,"Paid",Orders!$R$5:$R$154,"Completed")</f>
        <v>0</v>
      </c>
      <c r="C70" s="14">
        <f>SUMIFS(Orders!$L$5:$L$154,Orders!$B$5:$B$154,$A70,Orders!$Q$5:$Q$154,"Paid",Orders!$R$5:$R$154,"Completed")</f>
        <v>0</v>
      </c>
      <c r="D70" s="14">
        <f>SUMIFS(Orders!$M$5:$M$154,Orders!$B$5:$B$154,$A70,Orders!$Q$5:$Q$154,"Paid",Orders!$R$5:$R$154,"Completed")</f>
        <v>0</v>
      </c>
      <c r="E70" s="14">
        <f>SUMIFS(Orders!$O$5:$O$154,Orders!$B$5:$B$154,$A70,Orders!$Q$5:$Q$154,"Paid",Orders!$R$5:$R$154,"Completed")</f>
        <v>0</v>
      </c>
      <c r="F70" s="14">
        <f>SUMIFS(Expenses!$J$5:$J$104,Expenses!$B$5:$B$104,$A70,Expenses!$L$5:$L$104,"Operating Expense",Expenses!$M$5:$M$104,"Paid")</f>
        <v>0</v>
      </c>
      <c r="G70" s="9">
        <f t="shared" si="8"/>
        <v>0</v>
      </c>
      <c r="H70" s="9">
        <f t="shared" si="9"/>
        <v>0</v>
      </c>
      <c r="I70" s="18">
        <f>SUMIFS(Orders!$U$5:$U$154,Orders!$B$5:$B$154,$A70)</f>
        <v>0</v>
      </c>
      <c r="J70" s="18">
        <f>SUMIFS(Orders!$H$5:$H$154,Orders!$B$5:$B$154,$A70,Orders!$Q$5:$Q$154,"Paid",Orders!$R$5:$R$154,"Completed")</f>
        <v>0</v>
      </c>
      <c r="K70" s="14">
        <f>SUMIFS(Orders!$M$5:$M$154,Orders!$B$5:$B$154,$A70,Orders!$P$5:$P$154,"Cash",Orders!$Q$5:$Q$154,"Paid",Orders!$R$5:$R$154,"Completed")</f>
        <v>0</v>
      </c>
      <c r="L70" s="14">
        <f t="shared" si="10"/>
        <v>0</v>
      </c>
      <c r="M70" s="14">
        <f>SUMIFS(Expenses!$J$5:$J$104,Expenses!$B$5:$B$104,$A70,Expenses!$M$5:$M$104,"Paid")</f>
        <v>0</v>
      </c>
    </row>
    <row r="71" spans="1:13">
      <c r="A71" s="17">
        <f t="shared" si="11"/>
        <v>46270</v>
      </c>
      <c r="B71" s="14">
        <f>SUMIFS(Orders!$K$5:$K$154,Orders!$B$5:$B$154,$A71,Orders!$Q$5:$Q$154,"Paid",Orders!$R$5:$R$154,"Completed")</f>
        <v>0</v>
      </c>
      <c r="C71" s="14">
        <f>SUMIFS(Orders!$L$5:$L$154,Orders!$B$5:$B$154,$A71,Orders!$Q$5:$Q$154,"Paid",Orders!$R$5:$R$154,"Completed")</f>
        <v>0</v>
      </c>
      <c r="D71" s="14">
        <f>SUMIFS(Orders!$M$5:$M$154,Orders!$B$5:$B$154,$A71,Orders!$Q$5:$Q$154,"Paid",Orders!$R$5:$R$154,"Completed")</f>
        <v>0</v>
      </c>
      <c r="E71" s="14">
        <f>SUMIFS(Orders!$O$5:$O$154,Orders!$B$5:$B$154,$A71,Orders!$Q$5:$Q$154,"Paid",Orders!$R$5:$R$154,"Completed")</f>
        <v>0</v>
      </c>
      <c r="F71" s="14">
        <f>SUMIFS(Expenses!$J$5:$J$104,Expenses!$B$5:$B$104,$A71,Expenses!$L$5:$L$104,"Operating Expense",Expenses!$M$5:$M$104,"Paid")</f>
        <v>0</v>
      </c>
      <c r="G71" s="9">
        <f t="shared" si="8"/>
        <v>0</v>
      </c>
      <c r="H71" s="9">
        <f t="shared" si="9"/>
        <v>0</v>
      </c>
      <c r="I71" s="18">
        <f>SUMIFS(Orders!$U$5:$U$154,Orders!$B$5:$B$154,$A71)</f>
        <v>0</v>
      </c>
      <c r="J71" s="18">
        <f>SUMIFS(Orders!$H$5:$H$154,Orders!$B$5:$B$154,$A71,Orders!$Q$5:$Q$154,"Paid",Orders!$R$5:$R$154,"Completed")</f>
        <v>0</v>
      </c>
      <c r="K71" s="14">
        <f>SUMIFS(Orders!$M$5:$M$154,Orders!$B$5:$B$154,$A71,Orders!$P$5:$P$154,"Cash",Orders!$Q$5:$Q$154,"Paid",Orders!$R$5:$R$154,"Completed")</f>
        <v>0</v>
      </c>
      <c r="L71" s="14">
        <f t="shared" si="10"/>
        <v>0</v>
      </c>
      <c r="M71" s="14">
        <f>SUMIFS(Expenses!$J$5:$J$104,Expenses!$B$5:$B$104,$A71,Expenses!$M$5:$M$104,"Paid")</f>
        <v>0</v>
      </c>
    </row>
    <row r="72" spans="1:13">
      <c r="A72" s="17">
        <f t="shared" si="11"/>
        <v>46271</v>
      </c>
      <c r="B72" s="14">
        <f>SUMIFS(Orders!$K$5:$K$154,Orders!$B$5:$B$154,$A72,Orders!$Q$5:$Q$154,"Paid",Orders!$R$5:$R$154,"Completed")</f>
        <v>0</v>
      </c>
      <c r="C72" s="14">
        <f>SUMIFS(Orders!$L$5:$L$154,Orders!$B$5:$B$154,$A72,Orders!$Q$5:$Q$154,"Paid",Orders!$R$5:$R$154,"Completed")</f>
        <v>0</v>
      </c>
      <c r="D72" s="14">
        <f>SUMIFS(Orders!$M$5:$M$154,Orders!$B$5:$B$154,$A72,Orders!$Q$5:$Q$154,"Paid",Orders!$R$5:$R$154,"Completed")</f>
        <v>0</v>
      </c>
      <c r="E72" s="14">
        <f>SUMIFS(Orders!$O$5:$O$154,Orders!$B$5:$B$154,$A72,Orders!$Q$5:$Q$154,"Paid",Orders!$R$5:$R$154,"Completed")</f>
        <v>0</v>
      </c>
      <c r="F72" s="14">
        <f>SUMIFS(Expenses!$J$5:$J$104,Expenses!$B$5:$B$104,$A72,Expenses!$L$5:$L$104,"Operating Expense",Expenses!$M$5:$M$104,"Paid")</f>
        <v>0</v>
      </c>
      <c r="G72" s="9">
        <f t="shared" si="8"/>
        <v>0</v>
      </c>
      <c r="H72" s="9">
        <f t="shared" si="9"/>
        <v>0</v>
      </c>
      <c r="I72" s="18">
        <f>SUMIFS(Orders!$U$5:$U$154,Orders!$B$5:$B$154,$A72)</f>
        <v>0</v>
      </c>
      <c r="J72" s="18">
        <f>SUMIFS(Orders!$H$5:$H$154,Orders!$B$5:$B$154,$A72,Orders!$Q$5:$Q$154,"Paid",Orders!$R$5:$R$154,"Completed")</f>
        <v>0</v>
      </c>
      <c r="K72" s="14">
        <f>SUMIFS(Orders!$M$5:$M$154,Orders!$B$5:$B$154,$A72,Orders!$P$5:$P$154,"Cash",Orders!$Q$5:$Q$154,"Paid",Orders!$R$5:$R$154,"Completed")</f>
        <v>0</v>
      </c>
      <c r="L72" s="14">
        <f t="shared" si="10"/>
        <v>0</v>
      </c>
      <c r="M72" s="14">
        <f>SUMIFS(Expenses!$J$5:$J$104,Expenses!$B$5:$B$104,$A72,Expenses!$M$5:$M$104,"Paid")</f>
        <v>0</v>
      </c>
    </row>
    <row r="73" spans="1:13">
      <c r="A73" s="17">
        <f t="shared" si="11"/>
        <v>46272</v>
      </c>
      <c r="B73" s="14">
        <f>SUMIFS(Orders!$K$5:$K$154,Orders!$B$5:$B$154,$A73,Orders!$Q$5:$Q$154,"Paid",Orders!$R$5:$R$154,"Completed")</f>
        <v>0</v>
      </c>
      <c r="C73" s="14">
        <f>SUMIFS(Orders!$L$5:$L$154,Orders!$B$5:$B$154,$A73,Orders!$Q$5:$Q$154,"Paid",Orders!$R$5:$R$154,"Completed")</f>
        <v>0</v>
      </c>
      <c r="D73" s="14">
        <f>SUMIFS(Orders!$M$5:$M$154,Orders!$B$5:$B$154,$A73,Orders!$Q$5:$Q$154,"Paid",Orders!$R$5:$R$154,"Completed")</f>
        <v>0</v>
      </c>
      <c r="E73" s="14">
        <f>SUMIFS(Orders!$O$5:$O$154,Orders!$B$5:$B$154,$A73,Orders!$Q$5:$Q$154,"Paid",Orders!$R$5:$R$154,"Completed")</f>
        <v>0</v>
      </c>
      <c r="F73" s="14">
        <f>SUMIFS(Expenses!$J$5:$J$104,Expenses!$B$5:$B$104,$A73,Expenses!$L$5:$L$104,"Operating Expense",Expenses!$M$5:$M$104,"Paid")</f>
        <v>0</v>
      </c>
      <c r="G73" s="9">
        <f t="shared" si="8"/>
        <v>0</v>
      </c>
      <c r="H73" s="9">
        <f t="shared" si="9"/>
        <v>0</v>
      </c>
      <c r="I73" s="18">
        <f>SUMIFS(Orders!$U$5:$U$154,Orders!$B$5:$B$154,$A73)</f>
        <v>0</v>
      </c>
      <c r="J73" s="18">
        <f>SUMIFS(Orders!$H$5:$H$154,Orders!$B$5:$B$154,$A73,Orders!$Q$5:$Q$154,"Paid",Orders!$R$5:$R$154,"Completed")</f>
        <v>0</v>
      </c>
      <c r="K73" s="14">
        <f>SUMIFS(Orders!$M$5:$M$154,Orders!$B$5:$B$154,$A73,Orders!$P$5:$P$154,"Cash",Orders!$Q$5:$Q$154,"Paid",Orders!$R$5:$R$154,"Completed")</f>
        <v>0</v>
      </c>
      <c r="L73" s="14">
        <f t="shared" si="10"/>
        <v>0</v>
      </c>
      <c r="M73" s="14">
        <f>SUMIFS(Expenses!$J$5:$J$104,Expenses!$B$5:$B$104,$A73,Expenses!$M$5:$M$104,"Paid")</f>
        <v>0</v>
      </c>
    </row>
    <row r="74" spans="1:13">
      <c r="A74" s="17">
        <f t="shared" si="11"/>
        <v>46273</v>
      </c>
      <c r="B74" s="14">
        <f>SUMIFS(Orders!$K$5:$K$154,Orders!$B$5:$B$154,$A74,Orders!$Q$5:$Q$154,"Paid",Orders!$R$5:$R$154,"Completed")</f>
        <v>0</v>
      </c>
      <c r="C74" s="14">
        <f>SUMIFS(Orders!$L$5:$L$154,Orders!$B$5:$B$154,$A74,Orders!$Q$5:$Q$154,"Paid",Orders!$R$5:$R$154,"Completed")</f>
        <v>0</v>
      </c>
      <c r="D74" s="14">
        <f>SUMIFS(Orders!$M$5:$M$154,Orders!$B$5:$B$154,$A74,Orders!$Q$5:$Q$154,"Paid",Orders!$R$5:$R$154,"Completed")</f>
        <v>0</v>
      </c>
      <c r="E74" s="14">
        <f>SUMIFS(Orders!$O$5:$O$154,Orders!$B$5:$B$154,$A74,Orders!$Q$5:$Q$154,"Paid",Orders!$R$5:$R$154,"Completed")</f>
        <v>0</v>
      </c>
      <c r="F74" s="14">
        <f>SUMIFS(Expenses!$J$5:$J$104,Expenses!$B$5:$B$104,$A74,Expenses!$L$5:$L$104,"Operating Expense",Expenses!$M$5:$M$104,"Paid")</f>
        <v>0</v>
      </c>
      <c r="G74" s="9">
        <f t="shared" si="8"/>
        <v>0</v>
      </c>
      <c r="H74" s="9">
        <f t="shared" si="9"/>
        <v>0</v>
      </c>
      <c r="I74" s="18">
        <f>SUMIFS(Orders!$U$5:$U$154,Orders!$B$5:$B$154,$A74)</f>
        <v>0</v>
      </c>
      <c r="J74" s="18">
        <f>SUMIFS(Orders!$H$5:$H$154,Orders!$B$5:$B$154,$A74,Orders!$Q$5:$Q$154,"Paid",Orders!$R$5:$R$154,"Completed")</f>
        <v>0</v>
      </c>
      <c r="K74" s="14">
        <f>SUMIFS(Orders!$M$5:$M$154,Orders!$B$5:$B$154,$A74,Orders!$P$5:$P$154,"Cash",Orders!$Q$5:$Q$154,"Paid",Orders!$R$5:$R$154,"Completed")</f>
        <v>0</v>
      </c>
      <c r="L74" s="14">
        <f t="shared" si="10"/>
        <v>0</v>
      </c>
      <c r="M74" s="14">
        <f>SUMIFS(Expenses!$J$5:$J$104,Expenses!$B$5:$B$104,$A74,Expenses!$M$5:$M$104,"Paid")</f>
        <v>0</v>
      </c>
    </row>
    <row r="75" spans="1:13">
      <c r="A75" s="17">
        <f t="shared" si="11"/>
        <v>46274</v>
      </c>
      <c r="B75" s="14">
        <f>SUMIFS(Orders!$K$5:$K$154,Orders!$B$5:$B$154,$A75,Orders!$Q$5:$Q$154,"Paid",Orders!$R$5:$R$154,"Completed")</f>
        <v>0</v>
      </c>
      <c r="C75" s="14">
        <f>SUMIFS(Orders!$L$5:$L$154,Orders!$B$5:$B$154,$A75,Orders!$Q$5:$Q$154,"Paid",Orders!$R$5:$R$154,"Completed")</f>
        <v>0</v>
      </c>
      <c r="D75" s="14">
        <f>SUMIFS(Orders!$M$5:$M$154,Orders!$B$5:$B$154,$A75,Orders!$Q$5:$Q$154,"Paid",Orders!$R$5:$R$154,"Completed")</f>
        <v>0</v>
      </c>
      <c r="E75" s="14">
        <f>SUMIFS(Orders!$O$5:$O$154,Orders!$B$5:$B$154,$A75,Orders!$Q$5:$Q$154,"Paid",Orders!$R$5:$R$154,"Completed")</f>
        <v>0</v>
      </c>
      <c r="F75" s="14">
        <f>SUMIFS(Expenses!$J$5:$J$104,Expenses!$B$5:$B$104,$A75,Expenses!$L$5:$L$104,"Operating Expense",Expenses!$M$5:$M$104,"Paid")</f>
        <v>0</v>
      </c>
      <c r="G75" s="9">
        <f t="shared" si="8"/>
        <v>0</v>
      </c>
      <c r="H75" s="9">
        <f t="shared" si="9"/>
        <v>0</v>
      </c>
      <c r="I75" s="18">
        <f>SUMIFS(Orders!$U$5:$U$154,Orders!$B$5:$B$154,$A75)</f>
        <v>0</v>
      </c>
      <c r="J75" s="18">
        <f>SUMIFS(Orders!$H$5:$H$154,Orders!$B$5:$B$154,$A75,Orders!$Q$5:$Q$154,"Paid",Orders!$R$5:$R$154,"Completed")</f>
        <v>0</v>
      </c>
      <c r="K75" s="14">
        <f>SUMIFS(Orders!$M$5:$M$154,Orders!$B$5:$B$154,$A75,Orders!$P$5:$P$154,"Cash",Orders!$Q$5:$Q$154,"Paid",Orders!$R$5:$R$154,"Completed")</f>
        <v>0</v>
      </c>
      <c r="L75" s="14">
        <f t="shared" si="10"/>
        <v>0</v>
      </c>
      <c r="M75" s="14">
        <f>SUMIFS(Expenses!$J$5:$J$104,Expenses!$B$5:$B$104,$A75,Expenses!$M$5:$M$104,"Paid")</f>
        <v>0</v>
      </c>
    </row>
    <row r="76" spans="1:13">
      <c r="A76" s="17">
        <f t="shared" si="11"/>
        <v>46275</v>
      </c>
      <c r="B76" s="14">
        <f>SUMIFS(Orders!$K$5:$K$154,Orders!$B$5:$B$154,$A76,Orders!$Q$5:$Q$154,"Paid",Orders!$R$5:$R$154,"Completed")</f>
        <v>0</v>
      </c>
      <c r="C76" s="14">
        <f>SUMIFS(Orders!$L$5:$L$154,Orders!$B$5:$B$154,$A76,Orders!$Q$5:$Q$154,"Paid",Orders!$R$5:$R$154,"Completed")</f>
        <v>0</v>
      </c>
      <c r="D76" s="14">
        <f>SUMIFS(Orders!$M$5:$M$154,Orders!$B$5:$B$154,$A76,Orders!$Q$5:$Q$154,"Paid",Orders!$R$5:$R$154,"Completed")</f>
        <v>0</v>
      </c>
      <c r="E76" s="14">
        <f>SUMIFS(Orders!$O$5:$O$154,Orders!$B$5:$B$154,$A76,Orders!$Q$5:$Q$154,"Paid",Orders!$R$5:$R$154,"Completed")</f>
        <v>0</v>
      </c>
      <c r="F76" s="14">
        <f>SUMIFS(Expenses!$J$5:$J$104,Expenses!$B$5:$B$104,$A76,Expenses!$L$5:$L$104,"Operating Expense",Expenses!$M$5:$M$104,"Paid")</f>
        <v>0</v>
      </c>
      <c r="G76" s="9">
        <f t="shared" si="8"/>
        <v>0</v>
      </c>
      <c r="H76" s="9">
        <f t="shared" si="9"/>
        <v>0</v>
      </c>
      <c r="I76" s="18">
        <f>SUMIFS(Orders!$U$5:$U$154,Orders!$B$5:$B$154,$A76)</f>
        <v>0</v>
      </c>
      <c r="J76" s="18">
        <f>SUMIFS(Orders!$H$5:$H$154,Orders!$B$5:$B$154,$A76,Orders!$Q$5:$Q$154,"Paid",Orders!$R$5:$R$154,"Completed")</f>
        <v>0</v>
      </c>
      <c r="K76" s="14">
        <f>SUMIFS(Orders!$M$5:$M$154,Orders!$B$5:$B$154,$A76,Orders!$P$5:$P$154,"Cash",Orders!$Q$5:$Q$154,"Paid",Orders!$R$5:$R$154,"Completed")</f>
        <v>0</v>
      </c>
      <c r="L76" s="14">
        <f t="shared" si="10"/>
        <v>0</v>
      </c>
      <c r="M76" s="14">
        <f>SUMIFS(Expenses!$J$5:$J$104,Expenses!$B$5:$B$104,$A76,Expenses!$M$5:$M$104,"Paid")</f>
        <v>0</v>
      </c>
    </row>
    <row r="77" spans="1:13">
      <c r="A77" s="17">
        <f t="shared" si="11"/>
        <v>46276</v>
      </c>
      <c r="B77" s="14">
        <f>SUMIFS(Orders!$K$5:$K$154,Orders!$B$5:$B$154,$A77,Orders!$Q$5:$Q$154,"Paid",Orders!$R$5:$R$154,"Completed")</f>
        <v>0</v>
      </c>
      <c r="C77" s="14">
        <f>SUMIFS(Orders!$L$5:$L$154,Orders!$B$5:$B$154,$A77,Orders!$Q$5:$Q$154,"Paid",Orders!$R$5:$R$154,"Completed")</f>
        <v>0</v>
      </c>
      <c r="D77" s="14">
        <f>SUMIFS(Orders!$M$5:$M$154,Orders!$B$5:$B$154,$A77,Orders!$Q$5:$Q$154,"Paid",Orders!$R$5:$R$154,"Completed")</f>
        <v>0</v>
      </c>
      <c r="E77" s="14">
        <f>SUMIFS(Orders!$O$5:$O$154,Orders!$B$5:$B$154,$A77,Orders!$Q$5:$Q$154,"Paid",Orders!$R$5:$R$154,"Completed")</f>
        <v>0</v>
      </c>
      <c r="F77" s="14">
        <f>SUMIFS(Expenses!$J$5:$J$104,Expenses!$B$5:$B$104,$A77,Expenses!$L$5:$L$104,"Operating Expense",Expenses!$M$5:$M$104,"Paid")</f>
        <v>0</v>
      </c>
      <c r="G77" s="9">
        <f t="shared" si="8"/>
        <v>0</v>
      </c>
      <c r="H77" s="9">
        <f t="shared" si="9"/>
        <v>0</v>
      </c>
      <c r="I77" s="18">
        <f>SUMIFS(Orders!$U$5:$U$154,Orders!$B$5:$B$154,$A77)</f>
        <v>0</v>
      </c>
      <c r="J77" s="18">
        <f>SUMIFS(Orders!$H$5:$H$154,Orders!$B$5:$B$154,$A77,Orders!$Q$5:$Q$154,"Paid",Orders!$R$5:$R$154,"Completed")</f>
        <v>0</v>
      </c>
      <c r="K77" s="14">
        <f>SUMIFS(Orders!$M$5:$M$154,Orders!$B$5:$B$154,$A77,Orders!$P$5:$P$154,"Cash",Orders!$Q$5:$Q$154,"Paid",Orders!$R$5:$R$154,"Completed")</f>
        <v>0</v>
      </c>
      <c r="L77" s="14">
        <f t="shared" si="10"/>
        <v>0</v>
      </c>
      <c r="M77" s="14">
        <f>SUMIFS(Expenses!$J$5:$J$104,Expenses!$B$5:$B$104,$A77,Expenses!$M$5:$M$104,"Paid")</f>
        <v>0</v>
      </c>
    </row>
    <row r="78" spans="1:13">
      <c r="A78" s="17">
        <f t="shared" si="11"/>
        <v>46277</v>
      </c>
      <c r="B78" s="14">
        <f>SUMIFS(Orders!$K$5:$K$154,Orders!$B$5:$B$154,$A78,Orders!$Q$5:$Q$154,"Paid",Orders!$R$5:$R$154,"Completed")</f>
        <v>0</v>
      </c>
      <c r="C78" s="14">
        <f>SUMIFS(Orders!$L$5:$L$154,Orders!$B$5:$B$154,$A78,Orders!$Q$5:$Q$154,"Paid",Orders!$R$5:$R$154,"Completed")</f>
        <v>0</v>
      </c>
      <c r="D78" s="14">
        <f>SUMIFS(Orders!$M$5:$M$154,Orders!$B$5:$B$154,$A78,Orders!$Q$5:$Q$154,"Paid",Orders!$R$5:$R$154,"Completed")</f>
        <v>0</v>
      </c>
      <c r="E78" s="14">
        <f>SUMIFS(Orders!$O$5:$O$154,Orders!$B$5:$B$154,$A78,Orders!$Q$5:$Q$154,"Paid",Orders!$R$5:$R$154,"Completed")</f>
        <v>0</v>
      </c>
      <c r="F78" s="14">
        <f>SUMIFS(Expenses!$J$5:$J$104,Expenses!$B$5:$B$104,$A78,Expenses!$L$5:$L$104,"Operating Expense",Expenses!$M$5:$M$104,"Paid")</f>
        <v>0</v>
      </c>
      <c r="G78" s="9">
        <f t="shared" si="8"/>
        <v>0</v>
      </c>
      <c r="H78" s="9">
        <f t="shared" si="9"/>
        <v>0</v>
      </c>
      <c r="I78" s="18">
        <f>SUMIFS(Orders!$U$5:$U$154,Orders!$B$5:$B$154,$A78)</f>
        <v>0</v>
      </c>
      <c r="J78" s="18">
        <f>SUMIFS(Orders!$H$5:$H$154,Orders!$B$5:$B$154,$A78,Orders!$Q$5:$Q$154,"Paid",Orders!$R$5:$R$154,"Completed")</f>
        <v>0</v>
      </c>
      <c r="K78" s="14">
        <f>SUMIFS(Orders!$M$5:$M$154,Orders!$B$5:$B$154,$A78,Orders!$P$5:$P$154,"Cash",Orders!$Q$5:$Q$154,"Paid",Orders!$R$5:$R$154,"Completed")</f>
        <v>0</v>
      </c>
      <c r="L78" s="14">
        <f t="shared" si="10"/>
        <v>0</v>
      </c>
      <c r="M78" s="14">
        <f>SUMIFS(Expenses!$J$5:$J$104,Expenses!$B$5:$B$104,$A78,Expenses!$M$5:$M$104,"Paid")</f>
        <v>0</v>
      </c>
    </row>
    <row r="79" spans="1:13">
      <c r="A79" s="17">
        <f t="shared" si="11"/>
        <v>46278</v>
      </c>
      <c r="B79" s="14">
        <f>SUMIFS(Orders!$K$5:$K$154,Orders!$B$5:$B$154,$A79,Orders!$Q$5:$Q$154,"Paid",Orders!$R$5:$R$154,"Completed")</f>
        <v>0</v>
      </c>
      <c r="C79" s="14">
        <f>SUMIFS(Orders!$L$5:$L$154,Orders!$B$5:$B$154,$A79,Orders!$Q$5:$Q$154,"Paid",Orders!$R$5:$R$154,"Completed")</f>
        <v>0</v>
      </c>
      <c r="D79" s="14">
        <f>SUMIFS(Orders!$M$5:$M$154,Orders!$B$5:$B$154,$A79,Orders!$Q$5:$Q$154,"Paid",Orders!$R$5:$R$154,"Completed")</f>
        <v>0</v>
      </c>
      <c r="E79" s="14">
        <f>SUMIFS(Orders!$O$5:$O$154,Orders!$B$5:$B$154,$A79,Orders!$Q$5:$Q$154,"Paid",Orders!$R$5:$R$154,"Completed")</f>
        <v>0</v>
      </c>
      <c r="F79" s="14">
        <f>SUMIFS(Expenses!$J$5:$J$104,Expenses!$B$5:$B$104,$A79,Expenses!$L$5:$L$104,"Operating Expense",Expenses!$M$5:$M$104,"Paid")</f>
        <v>0</v>
      </c>
      <c r="G79" s="9">
        <f t="shared" si="8"/>
        <v>0</v>
      </c>
      <c r="H79" s="9">
        <f t="shared" si="9"/>
        <v>0</v>
      </c>
      <c r="I79" s="18">
        <f>SUMIFS(Orders!$U$5:$U$154,Orders!$B$5:$B$154,$A79)</f>
        <v>0</v>
      </c>
      <c r="J79" s="18">
        <f>SUMIFS(Orders!$H$5:$H$154,Orders!$B$5:$B$154,$A79,Orders!$Q$5:$Q$154,"Paid",Orders!$R$5:$R$154,"Completed")</f>
        <v>0</v>
      </c>
      <c r="K79" s="14">
        <f>SUMIFS(Orders!$M$5:$M$154,Orders!$B$5:$B$154,$A79,Orders!$P$5:$P$154,"Cash",Orders!$Q$5:$Q$154,"Paid",Orders!$R$5:$R$154,"Completed")</f>
        <v>0</v>
      </c>
      <c r="L79" s="14">
        <f t="shared" si="10"/>
        <v>0</v>
      </c>
      <c r="M79" s="14">
        <f>SUMIFS(Expenses!$J$5:$J$104,Expenses!$B$5:$B$104,$A79,Expenses!$M$5:$M$104,"Paid")</f>
        <v>0</v>
      </c>
    </row>
    <row r="80" spans="1:13">
      <c r="A80" s="17">
        <f t="shared" si="11"/>
        <v>46279</v>
      </c>
      <c r="B80" s="14">
        <f>SUMIFS(Orders!$K$5:$K$154,Orders!$B$5:$B$154,$A80,Orders!$Q$5:$Q$154,"Paid",Orders!$R$5:$R$154,"Completed")</f>
        <v>0</v>
      </c>
      <c r="C80" s="14">
        <f>SUMIFS(Orders!$L$5:$L$154,Orders!$B$5:$B$154,$A80,Orders!$Q$5:$Q$154,"Paid",Orders!$R$5:$R$154,"Completed")</f>
        <v>0</v>
      </c>
      <c r="D80" s="14">
        <f>SUMIFS(Orders!$M$5:$M$154,Orders!$B$5:$B$154,$A80,Orders!$Q$5:$Q$154,"Paid",Orders!$R$5:$R$154,"Completed")</f>
        <v>0</v>
      </c>
      <c r="E80" s="14">
        <f>SUMIFS(Orders!$O$5:$O$154,Orders!$B$5:$B$154,$A80,Orders!$Q$5:$Q$154,"Paid",Orders!$R$5:$R$154,"Completed")</f>
        <v>0</v>
      </c>
      <c r="F80" s="14">
        <f>SUMIFS(Expenses!$J$5:$J$104,Expenses!$B$5:$B$104,$A80,Expenses!$L$5:$L$104,"Operating Expense",Expenses!$M$5:$M$104,"Paid")</f>
        <v>0</v>
      </c>
      <c r="G80" s="9">
        <f t="shared" si="8"/>
        <v>0</v>
      </c>
      <c r="H80" s="9">
        <f t="shared" si="9"/>
        <v>0</v>
      </c>
      <c r="I80" s="18">
        <f>SUMIFS(Orders!$U$5:$U$154,Orders!$B$5:$B$154,$A80)</f>
        <v>0</v>
      </c>
      <c r="J80" s="18">
        <f>SUMIFS(Orders!$H$5:$H$154,Orders!$B$5:$B$154,$A80,Orders!$Q$5:$Q$154,"Paid",Orders!$R$5:$R$154,"Completed")</f>
        <v>0</v>
      </c>
      <c r="K80" s="14">
        <f>SUMIFS(Orders!$M$5:$M$154,Orders!$B$5:$B$154,$A80,Orders!$P$5:$P$154,"Cash",Orders!$Q$5:$Q$154,"Paid",Orders!$R$5:$R$154,"Completed")</f>
        <v>0</v>
      </c>
      <c r="L80" s="14">
        <f t="shared" si="10"/>
        <v>0</v>
      </c>
      <c r="M80" s="14">
        <f>SUMIFS(Expenses!$J$5:$J$104,Expenses!$B$5:$B$104,$A80,Expenses!$M$5:$M$104,"Paid")</f>
        <v>0</v>
      </c>
    </row>
    <row r="81" spans="1:13">
      <c r="A81" s="17">
        <f t="shared" si="11"/>
        <v>46280</v>
      </c>
      <c r="B81" s="14">
        <f>SUMIFS(Orders!$K$5:$K$154,Orders!$B$5:$B$154,$A81,Orders!$Q$5:$Q$154,"Paid",Orders!$R$5:$R$154,"Completed")</f>
        <v>0</v>
      </c>
      <c r="C81" s="14">
        <f>SUMIFS(Orders!$L$5:$L$154,Orders!$B$5:$B$154,$A81,Orders!$Q$5:$Q$154,"Paid",Orders!$R$5:$R$154,"Completed")</f>
        <v>0</v>
      </c>
      <c r="D81" s="14">
        <f>SUMIFS(Orders!$M$5:$M$154,Orders!$B$5:$B$154,$A81,Orders!$Q$5:$Q$154,"Paid",Orders!$R$5:$R$154,"Completed")</f>
        <v>0</v>
      </c>
      <c r="E81" s="14">
        <f>SUMIFS(Orders!$O$5:$O$154,Orders!$B$5:$B$154,$A81,Orders!$Q$5:$Q$154,"Paid",Orders!$R$5:$R$154,"Completed")</f>
        <v>0</v>
      </c>
      <c r="F81" s="14">
        <f>SUMIFS(Expenses!$J$5:$J$104,Expenses!$B$5:$B$104,$A81,Expenses!$L$5:$L$104,"Operating Expense",Expenses!$M$5:$M$104,"Paid")</f>
        <v>0</v>
      </c>
      <c r="G81" s="9">
        <f t="shared" si="8"/>
        <v>0</v>
      </c>
      <c r="H81" s="9">
        <f t="shared" si="9"/>
        <v>0</v>
      </c>
      <c r="I81" s="18">
        <f>SUMIFS(Orders!$U$5:$U$154,Orders!$B$5:$B$154,$A81)</f>
        <v>0</v>
      </c>
      <c r="J81" s="18">
        <f>SUMIFS(Orders!$H$5:$H$154,Orders!$B$5:$B$154,$A81,Orders!$Q$5:$Q$154,"Paid",Orders!$R$5:$R$154,"Completed")</f>
        <v>0</v>
      </c>
      <c r="K81" s="14">
        <f>SUMIFS(Orders!$M$5:$M$154,Orders!$B$5:$B$154,$A81,Orders!$P$5:$P$154,"Cash",Orders!$Q$5:$Q$154,"Paid",Orders!$R$5:$R$154,"Completed")</f>
        <v>0</v>
      </c>
      <c r="L81" s="14">
        <f t="shared" si="10"/>
        <v>0</v>
      </c>
      <c r="M81" s="14">
        <f>SUMIFS(Expenses!$J$5:$J$104,Expenses!$B$5:$B$104,$A81,Expenses!$M$5:$M$104,"Paid")</f>
        <v>0</v>
      </c>
    </row>
    <row r="82" spans="1:13">
      <c r="A82" s="17">
        <f t="shared" si="11"/>
        <v>46281</v>
      </c>
      <c r="B82" s="14">
        <f>SUMIFS(Orders!$K$5:$K$154,Orders!$B$5:$B$154,$A82,Orders!$Q$5:$Q$154,"Paid",Orders!$R$5:$R$154,"Completed")</f>
        <v>0</v>
      </c>
      <c r="C82" s="14">
        <f>SUMIFS(Orders!$L$5:$L$154,Orders!$B$5:$B$154,$A82,Orders!$Q$5:$Q$154,"Paid",Orders!$R$5:$R$154,"Completed")</f>
        <v>0</v>
      </c>
      <c r="D82" s="14">
        <f>SUMIFS(Orders!$M$5:$M$154,Orders!$B$5:$B$154,$A82,Orders!$Q$5:$Q$154,"Paid",Orders!$R$5:$R$154,"Completed")</f>
        <v>0</v>
      </c>
      <c r="E82" s="14">
        <f>SUMIFS(Orders!$O$5:$O$154,Orders!$B$5:$B$154,$A82,Orders!$Q$5:$Q$154,"Paid",Orders!$R$5:$R$154,"Completed")</f>
        <v>0</v>
      </c>
      <c r="F82" s="14">
        <f>SUMIFS(Expenses!$J$5:$J$104,Expenses!$B$5:$B$104,$A82,Expenses!$L$5:$L$104,"Operating Expense",Expenses!$M$5:$M$104,"Paid")</f>
        <v>0</v>
      </c>
      <c r="G82" s="9">
        <f t="shared" si="8"/>
        <v>0</v>
      </c>
      <c r="H82" s="9">
        <f t="shared" si="9"/>
        <v>0</v>
      </c>
      <c r="I82" s="18">
        <f>SUMIFS(Orders!$U$5:$U$154,Orders!$B$5:$B$154,$A82)</f>
        <v>0</v>
      </c>
      <c r="J82" s="18">
        <f>SUMIFS(Orders!$H$5:$H$154,Orders!$B$5:$B$154,$A82,Orders!$Q$5:$Q$154,"Paid",Orders!$R$5:$R$154,"Completed")</f>
        <v>0</v>
      </c>
      <c r="K82" s="14">
        <f>SUMIFS(Orders!$M$5:$M$154,Orders!$B$5:$B$154,$A82,Orders!$P$5:$P$154,"Cash",Orders!$Q$5:$Q$154,"Paid",Orders!$R$5:$R$154,"Completed")</f>
        <v>0</v>
      </c>
      <c r="L82" s="14">
        <f t="shared" si="10"/>
        <v>0</v>
      </c>
      <c r="M82" s="14">
        <f>SUMIFS(Expenses!$J$5:$J$104,Expenses!$B$5:$B$104,$A82,Expenses!$M$5:$M$104,"Paid")</f>
        <v>0</v>
      </c>
    </row>
    <row r="83" spans="1:13">
      <c r="A83" s="17">
        <f t="shared" si="11"/>
        <v>46282</v>
      </c>
      <c r="B83" s="14">
        <f>SUMIFS(Orders!$K$5:$K$154,Orders!$B$5:$B$154,$A83,Orders!$Q$5:$Q$154,"Paid",Orders!$R$5:$R$154,"Completed")</f>
        <v>0</v>
      </c>
      <c r="C83" s="14">
        <f>SUMIFS(Orders!$L$5:$L$154,Orders!$B$5:$B$154,$A83,Orders!$Q$5:$Q$154,"Paid",Orders!$R$5:$R$154,"Completed")</f>
        <v>0</v>
      </c>
      <c r="D83" s="14">
        <f>SUMIFS(Orders!$M$5:$M$154,Orders!$B$5:$B$154,$A83,Orders!$Q$5:$Q$154,"Paid",Orders!$R$5:$R$154,"Completed")</f>
        <v>0</v>
      </c>
      <c r="E83" s="14">
        <f>SUMIFS(Orders!$O$5:$O$154,Orders!$B$5:$B$154,$A83,Orders!$Q$5:$Q$154,"Paid",Orders!$R$5:$R$154,"Completed")</f>
        <v>0</v>
      </c>
      <c r="F83" s="14">
        <f>SUMIFS(Expenses!$J$5:$J$104,Expenses!$B$5:$B$104,$A83,Expenses!$L$5:$L$104,"Operating Expense",Expenses!$M$5:$M$104,"Paid")</f>
        <v>0</v>
      </c>
      <c r="G83" s="9">
        <f t="shared" si="8"/>
        <v>0</v>
      </c>
      <c r="H83" s="9">
        <f t="shared" si="9"/>
        <v>0</v>
      </c>
      <c r="I83" s="18">
        <f>SUMIFS(Orders!$U$5:$U$154,Orders!$B$5:$B$154,$A83)</f>
        <v>0</v>
      </c>
      <c r="J83" s="18">
        <f>SUMIFS(Orders!$H$5:$H$154,Orders!$B$5:$B$154,$A83,Orders!$Q$5:$Q$154,"Paid",Orders!$R$5:$R$154,"Completed")</f>
        <v>0</v>
      </c>
      <c r="K83" s="14">
        <f>SUMIFS(Orders!$M$5:$M$154,Orders!$B$5:$B$154,$A83,Orders!$P$5:$P$154,"Cash",Orders!$Q$5:$Q$154,"Paid",Orders!$R$5:$R$154,"Completed")</f>
        <v>0</v>
      </c>
      <c r="L83" s="14">
        <f t="shared" si="10"/>
        <v>0</v>
      </c>
      <c r="M83" s="14">
        <f>SUMIFS(Expenses!$J$5:$J$104,Expenses!$B$5:$B$104,$A83,Expenses!$M$5:$M$104,"Paid")</f>
        <v>0</v>
      </c>
    </row>
    <row r="84" spans="1:13">
      <c r="A84" s="17">
        <f t="shared" si="11"/>
        <v>46283</v>
      </c>
      <c r="B84" s="14">
        <f>SUMIFS(Orders!$K$5:$K$154,Orders!$B$5:$B$154,$A84,Orders!$Q$5:$Q$154,"Paid",Orders!$R$5:$R$154,"Completed")</f>
        <v>0</v>
      </c>
      <c r="C84" s="14">
        <f>SUMIFS(Orders!$L$5:$L$154,Orders!$B$5:$B$154,$A84,Orders!$Q$5:$Q$154,"Paid",Orders!$R$5:$R$154,"Completed")</f>
        <v>0</v>
      </c>
      <c r="D84" s="14">
        <f>SUMIFS(Orders!$M$5:$M$154,Orders!$B$5:$B$154,$A84,Orders!$Q$5:$Q$154,"Paid",Orders!$R$5:$R$154,"Completed")</f>
        <v>0</v>
      </c>
      <c r="E84" s="14">
        <f>SUMIFS(Orders!$O$5:$O$154,Orders!$B$5:$B$154,$A84,Orders!$Q$5:$Q$154,"Paid",Orders!$R$5:$R$154,"Completed")</f>
        <v>0</v>
      </c>
      <c r="F84" s="14">
        <f>SUMIFS(Expenses!$J$5:$J$104,Expenses!$B$5:$B$104,$A84,Expenses!$L$5:$L$104,"Operating Expense",Expenses!$M$5:$M$104,"Paid")</f>
        <v>0</v>
      </c>
      <c r="G84" s="9">
        <f t="shared" si="8"/>
        <v>0</v>
      </c>
      <c r="H84" s="9">
        <f t="shared" si="9"/>
        <v>0</v>
      </c>
      <c r="I84" s="18">
        <f>SUMIFS(Orders!$U$5:$U$154,Orders!$B$5:$B$154,$A84)</f>
        <v>0</v>
      </c>
      <c r="J84" s="18">
        <f>SUMIFS(Orders!$H$5:$H$154,Orders!$B$5:$B$154,$A84,Orders!$Q$5:$Q$154,"Paid",Orders!$R$5:$R$154,"Completed")</f>
        <v>0</v>
      </c>
      <c r="K84" s="14">
        <f>SUMIFS(Orders!$M$5:$M$154,Orders!$B$5:$B$154,$A84,Orders!$P$5:$P$154,"Cash",Orders!$Q$5:$Q$154,"Paid",Orders!$R$5:$R$154,"Completed")</f>
        <v>0</v>
      </c>
      <c r="L84" s="14">
        <f t="shared" si="10"/>
        <v>0</v>
      </c>
      <c r="M84" s="14">
        <f>SUMIFS(Expenses!$J$5:$J$104,Expenses!$B$5:$B$104,$A84,Expenses!$M$5:$M$104,"Paid")</f>
        <v>0</v>
      </c>
    </row>
    <row r="85" spans="1:13">
      <c r="A85" s="17">
        <f t="shared" si="11"/>
        <v>46284</v>
      </c>
      <c r="B85" s="14">
        <f>SUMIFS(Orders!$K$5:$K$154,Orders!$B$5:$B$154,$A85,Orders!$Q$5:$Q$154,"Paid",Orders!$R$5:$R$154,"Completed")</f>
        <v>0</v>
      </c>
      <c r="C85" s="14">
        <f>SUMIFS(Orders!$L$5:$L$154,Orders!$B$5:$B$154,$A85,Orders!$Q$5:$Q$154,"Paid",Orders!$R$5:$R$154,"Completed")</f>
        <v>0</v>
      </c>
      <c r="D85" s="14">
        <f>SUMIFS(Orders!$M$5:$M$154,Orders!$B$5:$B$154,$A85,Orders!$Q$5:$Q$154,"Paid",Orders!$R$5:$R$154,"Completed")</f>
        <v>0</v>
      </c>
      <c r="E85" s="14">
        <f>SUMIFS(Orders!$O$5:$O$154,Orders!$B$5:$B$154,$A85,Orders!$Q$5:$Q$154,"Paid",Orders!$R$5:$R$154,"Completed")</f>
        <v>0</v>
      </c>
      <c r="F85" s="14">
        <f>SUMIFS(Expenses!$J$5:$J$104,Expenses!$B$5:$B$104,$A85,Expenses!$L$5:$L$104,"Operating Expense",Expenses!$M$5:$M$104,"Paid")</f>
        <v>0</v>
      </c>
      <c r="G85" s="9">
        <f t="shared" si="8"/>
        <v>0</v>
      </c>
      <c r="H85" s="9">
        <f t="shared" si="9"/>
        <v>0</v>
      </c>
      <c r="I85" s="18">
        <f>SUMIFS(Orders!$U$5:$U$154,Orders!$B$5:$B$154,$A85)</f>
        <v>0</v>
      </c>
      <c r="J85" s="18">
        <f>SUMIFS(Orders!$H$5:$H$154,Orders!$B$5:$B$154,$A85,Orders!$Q$5:$Q$154,"Paid",Orders!$R$5:$R$154,"Completed")</f>
        <v>0</v>
      </c>
      <c r="K85" s="14">
        <f>SUMIFS(Orders!$M$5:$M$154,Orders!$B$5:$B$154,$A85,Orders!$P$5:$P$154,"Cash",Orders!$Q$5:$Q$154,"Paid",Orders!$R$5:$R$154,"Completed")</f>
        <v>0</v>
      </c>
      <c r="L85" s="14">
        <f t="shared" si="10"/>
        <v>0</v>
      </c>
      <c r="M85" s="14">
        <f>SUMIFS(Expenses!$J$5:$J$104,Expenses!$B$5:$B$104,$A85,Expenses!$M$5:$M$104,"Paid")</f>
        <v>0</v>
      </c>
    </row>
    <row r="86" spans="1:13">
      <c r="A86" s="17">
        <f t="shared" si="11"/>
        <v>46285</v>
      </c>
      <c r="B86" s="14">
        <f>SUMIFS(Orders!$K$5:$K$154,Orders!$B$5:$B$154,$A86,Orders!$Q$5:$Q$154,"Paid",Orders!$R$5:$R$154,"Completed")</f>
        <v>0</v>
      </c>
      <c r="C86" s="14">
        <f>SUMIFS(Orders!$L$5:$L$154,Orders!$B$5:$B$154,$A86,Orders!$Q$5:$Q$154,"Paid",Orders!$R$5:$R$154,"Completed")</f>
        <v>0</v>
      </c>
      <c r="D86" s="14">
        <f>SUMIFS(Orders!$M$5:$M$154,Orders!$B$5:$B$154,$A86,Orders!$Q$5:$Q$154,"Paid",Orders!$R$5:$R$154,"Completed")</f>
        <v>0</v>
      </c>
      <c r="E86" s="14">
        <f>SUMIFS(Orders!$O$5:$O$154,Orders!$B$5:$B$154,$A86,Orders!$Q$5:$Q$154,"Paid",Orders!$R$5:$R$154,"Completed")</f>
        <v>0</v>
      </c>
      <c r="F86" s="14">
        <f>SUMIFS(Expenses!$J$5:$J$104,Expenses!$B$5:$B$104,$A86,Expenses!$L$5:$L$104,"Operating Expense",Expenses!$M$5:$M$104,"Paid")</f>
        <v>0</v>
      </c>
      <c r="G86" s="9">
        <f t="shared" si="8"/>
        <v>0</v>
      </c>
      <c r="H86" s="9">
        <f t="shared" si="9"/>
        <v>0</v>
      </c>
      <c r="I86" s="18">
        <f>SUMIFS(Orders!$U$5:$U$154,Orders!$B$5:$B$154,$A86)</f>
        <v>0</v>
      </c>
      <c r="J86" s="18">
        <f>SUMIFS(Orders!$H$5:$H$154,Orders!$B$5:$B$154,$A86,Orders!$Q$5:$Q$154,"Paid",Orders!$R$5:$R$154,"Completed")</f>
        <v>0</v>
      </c>
      <c r="K86" s="14">
        <f>SUMIFS(Orders!$M$5:$M$154,Orders!$B$5:$B$154,$A86,Orders!$P$5:$P$154,"Cash",Orders!$Q$5:$Q$154,"Paid",Orders!$R$5:$R$154,"Completed")</f>
        <v>0</v>
      </c>
      <c r="L86" s="14">
        <f t="shared" si="10"/>
        <v>0</v>
      </c>
      <c r="M86" s="14">
        <f>SUMIFS(Expenses!$J$5:$J$104,Expenses!$B$5:$B$104,$A86,Expenses!$M$5:$M$104,"Paid")</f>
        <v>0</v>
      </c>
    </row>
    <row r="87" spans="1:13">
      <c r="A87" s="17">
        <f t="shared" si="11"/>
        <v>46286</v>
      </c>
      <c r="B87" s="14">
        <f>SUMIFS(Orders!$K$5:$K$154,Orders!$B$5:$B$154,$A87,Orders!$Q$5:$Q$154,"Paid",Orders!$R$5:$R$154,"Completed")</f>
        <v>0</v>
      </c>
      <c r="C87" s="14">
        <f>SUMIFS(Orders!$L$5:$L$154,Orders!$B$5:$B$154,$A87,Orders!$Q$5:$Q$154,"Paid",Orders!$R$5:$R$154,"Completed")</f>
        <v>0</v>
      </c>
      <c r="D87" s="14">
        <f>SUMIFS(Orders!$M$5:$M$154,Orders!$B$5:$B$154,$A87,Orders!$Q$5:$Q$154,"Paid",Orders!$R$5:$R$154,"Completed")</f>
        <v>0</v>
      </c>
      <c r="E87" s="14">
        <f>SUMIFS(Orders!$O$5:$O$154,Orders!$B$5:$B$154,$A87,Orders!$Q$5:$Q$154,"Paid",Orders!$R$5:$R$154,"Completed")</f>
        <v>0</v>
      </c>
      <c r="F87" s="14">
        <f>SUMIFS(Expenses!$J$5:$J$104,Expenses!$B$5:$B$104,$A87,Expenses!$L$5:$L$104,"Operating Expense",Expenses!$M$5:$M$104,"Paid")</f>
        <v>0</v>
      </c>
      <c r="G87" s="9">
        <f t="shared" si="8"/>
        <v>0</v>
      </c>
      <c r="H87" s="9">
        <f t="shared" si="9"/>
        <v>0</v>
      </c>
      <c r="I87" s="18">
        <f>SUMIFS(Orders!$U$5:$U$154,Orders!$B$5:$B$154,$A87)</f>
        <v>0</v>
      </c>
      <c r="J87" s="18">
        <f>SUMIFS(Orders!$H$5:$H$154,Orders!$B$5:$B$154,$A87,Orders!$Q$5:$Q$154,"Paid",Orders!$R$5:$R$154,"Completed")</f>
        <v>0</v>
      </c>
      <c r="K87" s="14">
        <f>SUMIFS(Orders!$M$5:$M$154,Orders!$B$5:$B$154,$A87,Orders!$P$5:$P$154,"Cash",Orders!$Q$5:$Q$154,"Paid",Orders!$R$5:$R$154,"Completed")</f>
        <v>0</v>
      </c>
      <c r="L87" s="14">
        <f t="shared" si="10"/>
        <v>0</v>
      </c>
      <c r="M87" s="14">
        <f>SUMIFS(Expenses!$J$5:$J$104,Expenses!$B$5:$B$104,$A87,Expenses!$M$5:$M$104,"Paid")</f>
        <v>0</v>
      </c>
    </row>
    <row r="88" spans="1:13">
      <c r="A88" s="17">
        <f t="shared" si="11"/>
        <v>46287</v>
      </c>
      <c r="B88" s="14">
        <f>SUMIFS(Orders!$K$5:$K$154,Orders!$B$5:$B$154,$A88,Orders!$Q$5:$Q$154,"Paid",Orders!$R$5:$R$154,"Completed")</f>
        <v>0</v>
      </c>
      <c r="C88" s="14">
        <f>SUMIFS(Orders!$L$5:$L$154,Orders!$B$5:$B$154,$A88,Orders!$Q$5:$Q$154,"Paid",Orders!$R$5:$R$154,"Completed")</f>
        <v>0</v>
      </c>
      <c r="D88" s="14">
        <f>SUMIFS(Orders!$M$5:$M$154,Orders!$B$5:$B$154,$A88,Orders!$Q$5:$Q$154,"Paid",Orders!$R$5:$R$154,"Completed")</f>
        <v>0</v>
      </c>
      <c r="E88" s="14">
        <f>SUMIFS(Orders!$O$5:$O$154,Orders!$B$5:$B$154,$A88,Orders!$Q$5:$Q$154,"Paid",Orders!$R$5:$R$154,"Completed")</f>
        <v>0</v>
      </c>
      <c r="F88" s="14">
        <f>SUMIFS(Expenses!$J$5:$J$104,Expenses!$B$5:$B$104,$A88,Expenses!$L$5:$L$104,"Operating Expense",Expenses!$M$5:$M$104,"Paid")</f>
        <v>0</v>
      </c>
      <c r="G88" s="9">
        <f t="shared" si="8"/>
        <v>0</v>
      </c>
      <c r="H88" s="9">
        <f t="shared" si="9"/>
        <v>0</v>
      </c>
      <c r="I88" s="18">
        <f>SUMIFS(Orders!$U$5:$U$154,Orders!$B$5:$B$154,$A88)</f>
        <v>0</v>
      </c>
      <c r="J88" s="18">
        <f>SUMIFS(Orders!$H$5:$H$154,Orders!$B$5:$B$154,$A88,Orders!$Q$5:$Q$154,"Paid",Orders!$R$5:$R$154,"Completed")</f>
        <v>0</v>
      </c>
      <c r="K88" s="14">
        <f>SUMIFS(Orders!$M$5:$M$154,Orders!$B$5:$B$154,$A88,Orders!$P$5:$P$154,"Cash",Orders!$Q$5:$Q$154,"Paid",Orders!$R$5:$R$154,"Completed")</f>
        <v>0</v>
      </c>
      <c r="L88" s="14">
        <f t="shared" si="10"/>
        <v>0</v>
      </c>
      <c r="M88" s="14">
        <f>SUMIFS(Expenses!$J$5:$J$104,Expenses!$B$5:$B$104,$A88,Expenses!$M$5:$M$104,"Paid")</f>
        <v>0</v>
      </c>
    </row>
    <row r="89" spans="1:13">
      <c r="A89" s="17">
        <f t="shared" si="11"/>
        <v>46288</v>
      </c>
      <c r="B89" s="14">
        <f>SUMIFS(Orders!$K$5:$K$154,Orders!$B$5:$B$154,$A89,Orders!$Q$5:$Q$154,"Paid",Orders!$R$5:$R$154,"Completed")</f>
        <v>0</v>
      </c>
      <c r="C89" s="14">
        <f>SUMIFS(Orders!$L$5:$L$154,Orders!$B$5:$B$154,$A89,Orders!$Q$5:$Q$154,"Paid",Orders!$R$5:$R$154,"Completed")</f>
        <v>0</v>
      </c>
      <c r="D89" s="14">
        <f>SUMIFS(Orders!$M$5:$M$154,Orders!$B$5:$B$154,$A89,Orders!$Q$5:$Q$154,"Paid",Orders!$R$5:$R$154,"Completed")</f>
        <v>0</v>
      </c>
      <c r="E89" s="14">
        <f>SUMIFS(Orders!$O$5:$O$154,Orders!$B$5:$B$154,$A89,Orders!$Q$5:$Q$154,"Paid",Orders!$R$5:$R$154,"Completed")</f>
        <v>0</v>
      </c>
      <c r="F89" s="14">
        <f>SUMIFS(Expenses!$J$5:$J$104,Expenses!$B$5:$B$104,$A89,Expenses!$L$5:$L$104,"Operating Expense",Expenses!$M$5:$M$104,"Paid")</f>
        <v>0</v>
      </c>
      <c r="G89" s="9">
        <f t="shared" si="8"/>
        <v>0</v>
      </c>
      <c r="H89" s="9">
        <f t="shared" si="9"/>
        <v>0</v>
      </c>
      <c r="I89" s="18">
        <f>SUMIFS(Orders!$U$5:$U$154,Orders!$B$5:$B$154,$A89)</f>
        <v>0</v>
      </c>
      <c r="J89" s="18">
        <f>SUMIFS(Orders!$H$5:$H$154,Orders!$B$5:$B$154,$A89,Orders!$Q$5:$Q$154,"Paid",Orders!$R$5:$R$154,"Completed")</f>
        <v>0</v>
      </c>
      <c r="K89" s="14">
        <f>SUMIFS(Orders!$M$5:$M$154,Orders!$B$5:$B$154,$A89,Orders!$P$5:$P$154,"Cash",Orders!$Q$5:$Q$154,"Paid",Orders!$R$5:$R$154,"Completed")</f>
        <v>0</v>
      </c>
      <c r="L89" s="14">
        <f t="shared" si="10"/>
        <v>0</v>
      </c>
      <c r="M89" s="14">
        <f>SUMIFS(Expenses!$J$5:$J$104,Expenses!$B$5:$B$104,$A89,Expenses!$M$5:$M$104,"Paid")</f>
        <v>0</v>
      </c>
    </row>
    <row r="90" spans="1:13">
      <c r="A90" s="17">
        <f t="shared" si="11"/>
        <v>46289</v>
      </c>
      <c r="B90" s="14">
        <f>SUMIFS(Orders!$K$5:$K$154,Orders!$B$5:$B$154,$A90,Orders!$Q$5:$Q$154,"Paid",Orders!$R$5:$R$154,"Completed")</f>
        <v>0</v>
      </c>
      <c r="C90" s="14">
        <f>SUMIFS(Orders!$L$5:$L$154,Orders!$B$5:$B$154,$A90,Orders!$Q$5:$Q$154,"Paid",Orders!$R$5:$R$154,"Completed")</f>
        <v>0</v>
      </c>
      <c r="D90" s="14">
        <f>SUMIFS(Orders!$M$5:$M$154,Orders!$B$5:$B$154,$A90,Orders!$Q$5:$Q$154,"Paid",Orders!$R$5:$R$154,"Completed")</f>
        <v>0</v>
      </c>
      <c r="E90" s="14">
        <f>SUMIFS(Orders!$O$5:$O$154,Orders!$B$5:$B$154,$A90,Orders!$Q$5:$Q$154,"Paid",Orders!$R$5:$R$154,"Completed")</f>
        <v>0</v>
      </c>
      <c r="F90" s="14">
        <f>SUMIFS(Expenses!$J$5:$J$104,Expenses!$B$5:$B$104,$A90,Expenses!$L$5:$L$104,"Operating Expense",Expenses!$M$5:$M$104,"Paid")</f>
        <v>0</v>
      </c>
      <c r="G90" s="9">
        <f t="shared" si="8"/>
        <v>0</v>
      </c>
      <c r="H90" s="9">
        <f t="shared" si="9"/>
        <v>0</v>
      </c>
      <c r="I90" s="18">
        <f>SUMIFS(Orders!$U$5:$U$154,Orders!$B$5:$B$154,$A90)</f>
        <v>0</v>
      </c>
      <c r="J90" s="18">
        <f>SUMIFS(Orders!$H$5:$H$154,Orders!$B$5:$B$154,$A90,Orders!$Q$5:$Q$154,"Paid",Orders!$R$5:$R$154,"Completed")</f>
        <v>0</v>
      </c>
      <c r="K90" s="14">
        <f>SUMIFS(Orders!$M$5:$M$154,Orders!$B$5:$B$154,$A90,Orders!$P$5:$P$154,"Cash",Orders!$Q$5:$Q$154,"Paid",Orders!$R$5:$R$154,"Completed")</f>
        <v>0</v>
      </c>
      <c r="L90" s="14">
        <f t="shared" si="10"/>
        <v>0</v>
      </c>
      <c r="M90" s="14">
        <f>SUMIFS(Expenses!$J$5:$J$104,Expenses!$B$5:$B$104,$A90,Expenses!$M$5:$M$104,"Paid")</f>
        <v>0</v>
      </c>
    </row>
    <row r="91" spans="1:13">
      <c r="A91" s="17">
        <f t="shared" si="11"/>
        <v>46290</v>
      </c>
      <c r="B91" s="14">
        <f>SUMIFS(Orders!$K$5:$K$154,Orders!$B$5:$B$154,$A91,Orders!$Q$5:$Q$154,"Paid",Orders!$R$5:$R$154,"Completed")</f>
        <v>0</v>
      </c>
      <c r="C91" s="14">
        <f>SUMIFS(Orders!$L$5:$L$154,Orders!$B$5:$B$154,$A91,Orders!$Q$5:$Q$154,"Paid",Orders!$R$5:$R$154,"Completed")</f>
        <v>0</v>
      </c>
      <c r="D91" s="14">
        <f>SUMIFS(Orders!$M$5:$M$154,Orders!$B$5:$B$154,$A91,Orders!$Q$5:$Q$154,"Paid",Orders!$R$5:$R$154,"Completed")</f>
        <v>0</v>
      </c>
      <c r="E91" s="14">
        <f>SUMIFS(Orders!$O$5:$O$154,Orders!$B$5:$B$154,$A91,Orders!$Q$5:$Q$154,"Paid",Orders!$R$5:$R$154,"Completed")</f>
        <v>0</v>
      </c>
      <c r="F91" s="14">
        <f>SUMIFS(Expenses!$J$5:$J$104,Expenses!$B$5:$B$104,$A91,Expenses!$L$5:$L$104,"Operating Expense",Expenses!$M$5:$M$104,"Paid")</f>
        <v>0</v>
      </c>
      <c r="G91" s="9">
        <f t="shared" si="8"/>
        <v>0</v>
      </c>
      <c r="H91" s="9">
        <f t="shared" si="9"/>
        <v>0</v>
      </c>
      <c r="I91" s="18">
        <f>SUMIFS(Orders!$U$5:$U$154,Orders!$B$5:$B$154,$A91)</f>
        <v>0</v>
      </c>
      <c r="J91" s="18">
        <f>SUMIFS(Orders!$H$5:$H$154,Orders!$B$5:$B$154,$A91,Orders!$Q$5:$Q$154,"Paid",Orders!$R$5:$R$154,"Completed")</f>
        <v>0</v>
      </c>
      <c r="K91" s="14">
        <f>SUMIFS(Orders!$M$5:$M$154,Orders!$B$5:$B$154,$A91,Orders!$P$5:$P$154,"Cash",Orders!$Q$5:$Q$154,"Paid",Orders!$R$5:$R$154,"Completed")</f>
        <v>0</v>
      </c>
      <c r="L91" s="14">
        <f t="shared" si="10"/>
        <v>0</v>
      </c>
      <c r="M91" s="14">
        <f>SUMIFS(Expenses!$J$5:$J$104,Expenses!$B$5:$B$104,$A91,Expenses!$M$5:$M$104,"Paid")</f>
        <v>0</v>
      </c>
    </row>
    <row r="92" spans="1:13">
      <c r="A92" s="17">
        <f t="shared" si="11"/>
        <v>46291</v>
      </c>
      <c r="B92" s="14">
        <f>SUMIFS(Orders!$K$5:$K$154,Orders!$B$5:$B$154,$A92,Orders!$Q$5:$Q$154,"Paid",Orders!$R$5:$R$154,"Completed")</f>
        <v>0</v>
      </c>
      <c r="C92" s="14">
        <f>SUMIFS(Orders!$L$5:$L$154,Orders!$B$5:$B$154,$A92,Orders!$Q$5:$Q$154,"Paid",Orders!$R$5:$R$154,"Completed")</f>
        <v>0</v>
      </c>
      <c r="D92" s="14">
        <f>SUMIFS(Orders!$M$5:$M$154,Orders!$B$5:$B$154,$A92,Orders!$Q$5:$Q$154,"Paid",Orders!$R$5:$R$154,"Completed")</f>
        <v>0</v>
      </c>
      <c r="E92" s="14">
        <f>SUMIFS(Orders!$O$5:$O$154,Orders!$B$5:$B$154,$A92,Orders!$Q$5:$Q$154,"Paid",Orders!$R$5:$R$154,"Completed")</f>
        <v>0</v>
      </c>
      <c r="F92" s="14">
        <f>SUMIFS(Expenses!$J$5:$J$104,Expenses!$B$5:$B$104,$A92,Expenses!$L$5:$L$104,"Operating Expense",Expenses!$M$5:$M$104,"Paid")</f>
        <v>0</v>
      </c>
      <c r="G92" s="9">
        <f t="shared" si="8"/>
        <v>0</v>
      </c>
      <c r="H92" s="9">
        <f t="shared" si="9"/>
        <v>0</v>
      </c>
      <c r="I92" s="18">
        <f>SUMIFS(Orders!$U$5:$U$154,Orders!$B$5:$B$154,$A92)</f>
        <v>0</v>
      </c>
      <c r="J92" s="18">
        <f>SUMIFS(Orders!$H$5:$H$154,Orders!$B$5:$B$154,$A92,Orders!$Q$5:$Q$154,"Paid",Orders!$R$5:$R$154,"Completed")</f>
        <v>0</v>
      </c>
      <c r="K92" s="14">
        <f>SUMIFS(Orders!$M$5:$M$154,Orders!$B$5:$B$154,$A92,Orders!$P$5:$P$154,"Cash",Orders!$Q$5:$Q$154,"Paid",Orders!$R$5:$R$154,"Completed")</f>
        <v>0</v>
      </c>
      <c r="L92" s="14">
        <f t="shared" si="10"/>
        <v>0</v>
      </c>
      <c r="M92" s="14">
        <f>SUMIFS(Expenses!$J$5:$J$104,Expenses!$B$5:$B$104,$A92,Expenses!$M$5:$M$104,"Paid")</f>
        <v>0</v>
      </c>
    </row>
    <row r="93" spans="1:13">
      <c r="A93" s="17">
        <f t="shared" si="11"/>
        <v>46292</v>
      </c>
      <c r="B93" s="14">
        <f>SUMIFS(Orders!$K$5:$K$154,Orders!$B$5:$B$154,$A93,Orders!$Q$5:$Q$154,"Paid",Orders!$R$5:$R$154,"Completed")</f>
        <v>0</v>
      </c>
      <c r="C93" s="14">
        <f>SUMIFS(Orders!$L$5:$L$154,Orders!$B$5:$B$154,$A93,Orders!$Q$5:$Q$154,"Paid",Orders!$R$5:$R$154,"Completed")</f>
        <v>0</v>
      </c>
      <c r="D93" s="14">
        <f>SUMIFS(Orders!$M$5:$M$154,Orders!$B$5:$B$154,$A93,Orders!$Q$5:$Q$154,"Paid",Orders!$R$5:$R$154,"Completed")</f>
        <v>0</v>
      </c>
      <c r="E93" s="14">
        <f>SUMIFS(Orders!$O$5:$O$154,Orders!$B$5:$B$154,$A93,Orders!$Q$5:$Q$154,"Paid",Orders!$R$5:$R$154,"Completed")</f>
        <v>0</v>
      </c>
      <c r="F93" s="14">
        <f>SUMIFS(Expenses!$J$5:$J$104,Expenses!$B$5:$B$104,$A93,Expenses!$L$5:$L$104,"Operating Expense",Expenses!$M$5:$M$104,"Paid")</f>
        <v>0</v>
      </c>
      <c r="G93" s="9">
        <f t="shared" si="8"/>
        <v>0</v>
      </c>
      <c r="H93" s="9">
        <f t="shared" si="9"/>
        <v>0</v>
      </c>
      <c r="I93" s="18">
        <f>SUMIFS(Orders!$U$5:$U$154,Orders!$B$5:$B$154,$A93)</f>
        <v>0</v>
      </c>
      <c r="J93" s="18">
        <f>SUMIFS(Orders!$H$5:$H$154,Orders!$B$5:$B$154,$A93,Orders!$Q$5:$Q$154,"Paid",Orders!$R$5:$R$154,"Completed")</f>
        <v>0</v>
      </c>
      <c r="K93" s="14">
        <f>SUMIFS(Orders!$M$5:$M$154,Orders!$B$5:$B$154,$A93,Orders!$P$5:$P$154,"Cash",Orders!$Q$5:$Q$154,"Paid",Orders!$R$5:$R$154,"Completed")</f>
        <v>0</v>
      </c>
      <c r="L93" s="14">
        <f t="shared" si="10"/>
        <v>0</v>
      </c>
      <c r="M93" s="14">
        <f>SUMIFS(Expenses!$J$5:$J$104,Expenses!$B$5:$B$104,$A93,Expenses!$M$5:$M$104,"Paid")</f>
        <v>0</v>
      </c>
    </row>
    <row r="94" spans="1:13">
      <c r="A94" s="17">
        <f t="shared" si="11"/>
        <v>46293</v>
      </c>
      <c r="B94" s="14">
        <f>SUMIFS(Orders!$K$5:$K$154,Orders!$B$5:$B$154,$A94,Orders!$Q$5:$Q$154,"Paid",Orders!$R$5:$R$154,"Completed")</f>
        <v>0</v>
      </c>
      <c r="C94" s="14">
        <f>SUMIFS(Orders!$L$5:$L$154,Orders!$B$5:$B$154,$A94,Orders!$Q$5:$Q$154,"Paid",Orders!$R$5:$R$154,"Completed")</f>
        <v>0</v>
      </c>
      <c r="D94" s="14">
        <f>SUMIFS(Orders!$M$5:$M$154,Orders!$B$5:$B$154,$A94,Orders!$Q$5:$Q$154,"Paid",Orders!$R$5:$R$154,"Completed")</f>
        <v>0</v>
      </c>
      <c r="E94" s="14">
        <f>SUMIFS(Orders!$O$5:$O$154,Orders!$B$5:$B$154,$A94,Orders!$Q$5:$Q$154,"Paid",Orders!$R$5:$R$154,"Completed")</f>
        <v>0</v>
      </c>
      <c r="F94" s="14">
        <f>SUMIFS(Expenses!$J$5:$J$104,Expenses!$B$5:$B$104,$A94,Expenses!$L$5:$L$104,"Operating Expense",Expenses!$M$5:$M$104,"Paid")</f>
        <v>0</v>
      </c>
      <c r="G94" s="9">
        <f t="shared" si="8"/>
        <v>0</v>
      </c>
      <c r="H94" s="9">
        <f t="shared" si="9"/>
        <v>0</v>
      </c>
      <c r="I94" s="18">
        <f>SUMIFS(Orders!$U$5:$U$154,Orders!$B$5:$B$154,$A94)</f>
        <v>0</v>
      </c>
      <c r="J94" s="18">
        <f>SUMIFS(Orders!$H$5:$H$154,Orders!$B$5:$B$154,$A94,Orders!$Q$5:$Q$154,"Paid",Orders!$R$5:$R$154,"Completed")</f>
        <v>0</v>
      </c>
      <c r="K94" s="14">
        <f>SUMIFS(Orders!$M$5:$M$154,Orders!$B$5:$B$154,$A94,Orders!$P$5:$P$154,"Cash",Orders!$Q$5:$Q$154,"Paid",Orders!$R$5:$R$154,"Completed")</f>
        <v>0</v>
      </c>
      <c r="L94" s="14">
        <f t="shared" si="10"/>
        <v>0</v>
      </c>
      <c r="M94" s="14">
        <f>SUMIFS(Expenses!$J$5:$J$104,Expenses!$B$5:$B$104,$A94,Expenses!$M$5:$M$104,"Paid")</f>
        <v>0</v>
      </c>
    </row>
    <row r="95" spans="1:13">
      <c r="A95" s="17">
        <f t="shared" si="11"/>
        <v>46294</v>
      </c>
      <c r="B95" s="14">
        <f>SUMIFS(Orders!$K$5:$K$154,Orders!$B$5:$B$154,$A95,Orders!$Q$5:$Q$154,"Paid",Orders!$R$5:$R$154,"Completed")</f>
        <v>0</v>
      </c>
      <c r="C95" s="14">
        <f>SUMIFS(Orders!$L$5:$L$154,Orders!$B$5:$B$154,$A95,Orders!$Q$5:$Q$154,"Paid",Orders!$R$5:$R$154,"Completed")</f>
        <v>0</v>
      </c>
      <c r="D95" s="14">
        <f>SUMIFS(Orders!$M$5:$M$154,Orders!$B$5:$B$154,$A95,Orders!$Q$5:$Q$154,"Paid",Orders!$R$5:$R$154,"Completed")</f>
        <v>0</v>
      </c>
      <c r="E95" s="14">
        <f>SUMIFS(Orders!$O$5:$O$154,Orders!$B$5:$B$154,$A95,Orders!$Q$5:$Q$154,"Paid",Orders!$R$5:$R$154,"Completed")</f>
        <v>0</v>
      </c>
      <c r="F95" s="14">
        <f>SUMIFS(Expenses!$J$5:$J$104,Expenses!$B$5:$B$104,$A95,Expenses!$L$5:$L$104,"Operating Expense",Expenses!$M$5:$M$104,"Paid")</f>
        <v>0</v>
      </c>
      <c r="G95" s="9">
        <f t="shared" si="8"/>
        <v>0</v>
      </c>
      <c r="H95" s="9">
        <f t="shared" si="9"/>
        <v>0</v>
      </c>
      <c r="I95" s="18">
        <f>SUMIFS(Orders!$U$5:$U$154,Orders!$B$5:$B$154,$A95)</f>
        <v>0</v>
      </c>
      <c r="J95" s="18">
        <f>SUMIFS(Orders!$H$5:$H$154,Orders!$B$5:$B$154,$A95,Orders!$Q$5:$Q$154,"Paid",Orders!$R$5:$R$154,"Completed")</f>
        <v>0</v>
      </c>
      <c r="K95" s="14">
        <f>SUMIFS(Orders!$M$5:$M$154,Orders!$B$5:$B$154,$A95,Orders!$P$5:$P$154,"Cash",Orders!$Q$5:$Q$154,"Paid",Orders!$R$5:$R$154,"Completed")</f>
        <v>0</v>
      </c>
      <c r="L95" s="14">
        <f t="shared" si="10"/>
        <v>0</v>
      </c>
      <c r="M95" s="14">
        <f>SUMIFS(Expenses!$J$5:$J$104,Expenses!$B$5:$B$104,$A95,Expenses!$M$5:$M$104,"Paid")</f>
        <v>0</v>
      </c>
    </row>
    <row r="96" spans="1:13">
      <c r="A96" s="17">
        <f t="shared" si="11"/>
        <v>46295</v>
      </c>
      <c r="B96" s="14">
        <f>SUMIFS(Orders!$K$5:$K$154,Orders!$B$5:$B$154,$A96,Orders!$Q$5:$Q$154,"Paid",Orders!$R$5:$R$154,"Completed")</f>
        <v>0</v>
      </c>
      <c r="C96" s="14">
        <f>SUMIFS(Orders!$L$5:$L$154,Orders!$B$5:$B$154,$A96,Orders!$Q$5:$Q$154,"Paid",Orders!$R$5:$R$154,"Completed")</f>
        <v>0</v>
      </c>
      <c r="D96" s="14">
        <f>SUMIFS(Orders!$M$5:$M$154,Orders!$B$5:$B$154,$A96,Orders!$Q$5:$Q$154,"Paid",Orders!$R$5:$R$154,"Completed")</f>
        <v>0</v>
      </c>
      <c r="E96" s="14">
        <f>SUMIFS(Orders!$O$5:$O$154,Orders!$B$5:$B$154,$A96,Orders!$Q$5:$Q$154,"Paid",Orders!$R$5:$R$154,"Completed")</f>
        <v>0</v>
      </c>
      <c r="F96" s="14">
        <f>SUMIFS(Expenses!$J$5:$J$104,Expenses!$B$5:$B$104,$A96,Expenses!$L$5:$L$104,"Operating Expense",Expenses!$M$5:$M$104,"Paid")</f>
        <v>0</v>
      </c>
      <c r="G96" s="9">
        <f t="shared" si="8"/>
        <v>0</v>
      </c>
      <c r="H96" s="9">
        <f t="shared" si="9"/>
        <v>0</v>
      </c>
      <c r="I96" s="18">
        <f>SUMIFS(Orders!$U$5:$U$154,Orders!$B$5:$B$154,$A96)</f>
        <v>0</v>
      </c>
      <c r="J96" s="18">
        <f>SUMIFS(Orders!$H$5:$H$154,Orders!$B$5:$B$154,$A96,Orders!$Q$5:$Q$154,"Paid",Orders!$R$5:$R$154,"Completed")</f>
        <v>0</v>
      </c>
      <c r="K96" s="14">
        <f>SUMIFS(Orders!$M$5:$M$154,Orders!$B$5:$B$154,$A96,Orders!$P$5:$P$154,"Cash",Orders!$Q$5:$Q$154,"Paid",Orders!$R$5:$R$154,"Completed")</f>
        <v>0</v>
      </c>
      <c r="L96" s="14">
        <f t="shared" si="10"/>
        <v>0</v>
      </c>
      <c r="M96" s="14">
        <f>SUMIFS(Expenses!$J$5:$J$104,Expenses!$B$5:$B$104,$A96,Expenses!$M$5:$M$104,"Paid")</f>
        <v>0</v>
      </c>
    </row>
    <row r="97" spans="1:13">
      <c r="A97" s="17">
        <f t="shared" si="11"/>
        <v>46296</v>
      </c>
      <c r="B97" s="14">
        <f>SUMIFS(Orders!$K$5:$K$154,Orders!$B$5:$B$154,$A97,Orders!$Q$5:$Q$154,"Paid",Orders!$R$5:$R$154,"Completed")</f>
        <v>0</v>
      </c>
      <c r="C97" s="14">
        <f>SUMIFS(Orders!$L$5:$L$154,Orders!$B$5:$B$154,$A97,Orders!$Q$5:$Q$154,"Paid",Orders!$R$5:$R$154,"Completed")</f>
        <v>0</v>
      </c>
      <c r="D97" s="14">
        <f>SUMIFS(Orders!$M$5:$M$154,Orders!$B$5:$B$154,$A97,Orders!$Q$5:$Q$154,"Paid",Orders!$R$5:$R$154,"Completed")</f>
        <v>0</v>
      </c>
      <c r="E97" s="14">
        <f>SUMIFS(Orders!$O$5:$O$154,Orders!$B$5:$B$154,$A97,Orders!$Q$5:$Q$154,"Paid",Orders!$R$5:$R$154,"Completed")</f>
        <v>0</v>
      </c>
      <c r="F97" s="14">
        <f>SUMIFS(Expenses!$J$5:$J$104,Expenses!$B$5:$B$104,$A97,Expenses!$L$5:$L$104,"Operating Expense",Expenses!$M$5:$M$104,"Paid")</f>
        <v>0</v>
      </c>
      <c r="G97" s="9">
        <f t="shared" si="8"/>
        <v>0</v>
      </c>
      <c r="H97" s="9">
        <f t="shared" si="9"/>
        <v>0</v>
      </c>
      <c r="I97" s="18">
        <f>SUMIFS(Orders!$U$5:$U$154,Orders!$B$5:$B$154,$A97)</f>
        <v>0</v>
      </c>
      <c r="J97" s="18">
        <f>SUMIFS(Orders!$H$5:$H$154,Orders!$B$5:$B$154,$A97,Orders!$Q$5:$Q$154,"Paid",Orders!$R$5:$R$154,"Completed")</f>
        <v>0</v>
      </c>
      <c r="K97" s="14">
        <f>SUMIFS(Orders!$M$5:$M$154,Orders!$B$5:$B$154,$A97,Orders!$P$5:$P$154,"Cash",Orders!$Q$5:$Q$154,"Paid",Orders!$R$5:$R$154,"Completed")</f>
        <v>0</v>
      </c>
      <c r="L97" s="14">
        <f t="shared" si="10"/>
        <v>0</v>
      </c>
      <c r="M97" s="14">
        <f>SUMIFS(Expenses!$J$5:$J$104,Expenses!$B$5:$B$104,$A97,Expenses!$M$5:$M$104,"Paid")</f>
        <v>0</v>
      </c>
    </row>
    <row r="98" spans="1:13">
      <c r="A98" s="17">
        <f t="shared" si="11"/>
        <v>46297</v>
      </c>
      <c r="B98" s="14">
        <f>SUMIFS(Orders!$K$5:$K$154,Orders!$B$5:$B$154,$A98,Orders!$Q$5:$Q$154,"Paid",Orders!$R$5:$R$154,"Completed")</f>
        <v>0</v>
      </c>
      <c r="C98" s="14">
        <f>SUMIFS(Orders!$L$5:$L$154,Orders!$B$5:$B$154,$A98,Orders!$Q$5:$Q$154,"Paid",Orders!$R$5:$R$154,"Completed")</f>
        <v>0</v>
      </c>
      <c r="D98" s="14">
        <f>SUMIFS(Orders!$M$5:$M$154,Orders!$B$5:$B$154,$A98,Orders!$Q$5:$Q$154,"Paid",Orders!$R$5:$R$154,"Completed")</f>
        <v>0</v>
      </c>
      <c r="E98" s="14">
        <f>SUMIFS(Orders!$O$5:$O$154,Orders!$B$5:$B$154,$A98,Orders!$Q$5:$Q$154,"Paid",Orders!$R$5:$R$154,"Completed")</f>
        <v>0</v>
      </c>
      <c r="F98" s="14">
        <f>SUMIFS(Expenses!$J$5:$J$104,Expenses!$B$5:$B$104,$A98,Expenses!$L$5:$L$104,"Operating Expense",Expenses!$M$5:$M$104,"Paid")</f>
        <v>0</v>
      </c>
      <c r="G98" s="9">
        <f t="shared" si="8"/>
        <v>0</v>
      </c>
      <c r="H98" s="9">
        <f t="shared" si="9"/>
        <v>0</v>
      </c>
      <c r="I98" s="18">
        <f>SUMIFS(Orders!$U$5:$U$154,Orders!$B$5:$B$154,$A98)</f>
        <v>0</v>
      </c>
      <c r="J98" s="18">
        <f>SUMIFS(Orders!$H$5:$H$154,Orders!$B$5:$B$154,$A98,Orders!$Q$5:$Q$154,"Paid",Orders!$R$5:$R$154,"Completed")</f>
        <v>0</v>
      </c>
      <c r="K98" s="14">
        <f>SUMIFS(Orders!$M$5:$M$154,Orders!$B$5:$B$154,$A98,Orders!$P$5:$P$154,"Cash",Orders!$Q$5:$Q$154,"Paid",Orders!$R$5:$R$154,"Completed")</f>
        <v>0</v>
      </c>
      <c r="L98" s="14">
        <f t="shared" si="10"/>
        <v>0</v>
      </c>
      <c r="M98" s="14">
        <f>SUMIFS(Expenses!$J$5:$J$104,Expenses!$B$5:$B$104,$A98,Expenses!$M$5:$M$104,"Paid")</f>
        <v>0</v>
      </c>
    </row>
    <row r="99" spans="1:13">
      <c r="A99" s="17">
        <f t="shared" si="11"/>
        <v>46298</v>
      </c>
      <c r="B99" s="14">
        <f>SUMIFS(Orders!$K$5:$K$154,Orders!$B$5:$B$154,$A99,Orders!$Q$5:$Q$154,"Paid",Orders!$R$5:$R$154,"Completed")</f>
        <v>0</v>
      </c>
      <c r="C99" s="14">
        <f>SUMIFS(Orders!$L$5:$L$154,Orders!$B$5:$B$154,$A99,Orders!$Q$5:$Q$154,"Paid",Orders!$R$5:$R$154,"Completed")</f>
        <v>0</v>
      </c>
      <c r="D99" s="14">
        <f>SUMIFS(Orders!$M$5:$M$154,Orders!$B$5:$B$154,$A99,Orders!$Q$5:$Q$154,"Paid",Orders!$R$5:$R$154,"Completed")</f>
        <v>0</v>
      </c>
      <c r="E99" s="14">
        <f>SUMIFS(Orders!$O$5:$O$154,Orders!$B$5:$B$154,$A99,Orders!$Q$5:$Q$154,"Paid",Orders!$R$5:$R$154,"Completed")</f>
        <v>0</v>
      </c>
      <c r="F99" s="14">
        <f>SUMIFS(Expenses!$J$5:$J$104,Expenses!$B$5:$B$104,$A99,Expenses!$L$5:$L$104,"Operating Expense",Expenses!$M$5:$M$104,"Paid")</f>
        <v>0</v>
      </c>
      <c r="G99" s="9">
        <f t="shared" si="8"/>
        <v>0</v>
      </c>
      <c r="H99" s="9">
        <f t="shared" si="9"/>
        <v>0</v>
      </c>
      <c r="I99" s="18">
        <f>SUMIFS(Orders!$U$5:$U$154,Orders!$B$5:$B$154,$A99)</f>
        <v>0</v>
      </c>
      <c r="J99" s="18">
        <f>SUMIFS(Orders!$H$5:$H$154,Orders!$B$5:$B$154,$A99,Orders!$Q$5:$Q$154,"Paid",Orders!$R$5:$R$154,"Completed")</f>
        <v>0</v>
      </c>
      <c r="K99" s="14">
        <f>SUMIFS(Orders!$M$5:$M$154,Orders!$B$5:$B$154,$A99,Orders!$P$5:$P$154,"Cash",Orders!$Q$5:$Q$154,"Paid",Orders!$R$5:$R$154,"Completed")</f>
        <v>0</v>
      </c>
      <c r="L99" s="14">
        <f t="shared" si="10"/>
        <v>0</v>
      </c>
      <c r="M99" s="14">
        <f>SUMIFS(Expenses!$J$5:$J$104,Expenses!$B$5:$B$104,$A99,Expenses!$M$5:$M$104,"Paid")</f>
        <v>0</v>
      </c>
    </row>
    <row r="100" spans="1:13">
      <c r="A100" s="17">
        <f t="shared" si="11"/>
        <v>46299</v>
      </c>
      <c r="B100" s="14">
        <f>SUMIFS(Orders!$K$5:$K$154,Orders!$B$5:$B$154,$A100,Orders!$Q$5:$Q$154,"Paid",Orders!$R$5:$R$154,"Completed")</f>
        <v>0</v>
      </c>
      <c r="C100" s="14">
        <f>SUMIFS(Orders!$L$5:$L$154,Orders!$B$5:$B$154,$A100,Orders!$Q$5:$Q$154,"Paid",Orders!$R$5:$R$154,"Completed")</f>
        <v>0</v>
      </c>
      <c r="D100" s="14">
        <f>SUMIFS(Orders!$M$5:$M$154,Orders!$B$5:$B$154,$A100,Orders!$Q$5:$Q$154,"Paid",Orders!$R$5:$R$154,"Completed")</f>
        <v>0</v>
      </c>
      <c r="E100" s="14">
        <f>SUMIFS(Orders!$O$5:$O$154,Orders!$B$5:$B$154,$A100,Orders!$Q$5:$Q$154,"Paid",Orders!$R$5:$R$154,"Completed")</f>
        <v>0</v>
      </c>
      <c r="F100" s="14">
        <f>SUMIFS(Expenses!$J$5:$J$104,Expenses!$B$5:$B$104,$A100,Expenses!$L$5:$L$104,"Operating Expense",Expenses!$M$5:$M$104,"Paid")</f>
        <v>0</v>
      </c>
      <c r="G100" s="9">
        <f t="shared" si="8"/>
        <v>0</v>
      </c>
      <c r="H100" s="9">
        <f t="shared" si="9"/>
        <v>0</v>
      </c>
      <c r="I100" s="18">
        <f>SUMIFS(Orders!$U$5:$U$154,Orders!$B$5:$B$154,$A100)</f>
        <v>0</v>
      </c>
      <c r="J100" s="18">
        <f>SUMIFS(Orders!$H$5:$H$154,Orders!$B$5:$B$154,$A100,Orders!$Q$5:$Q$154,"Paid",Orders!$R$5:$R$154,"Completed")</f>
        <v>0</v>
      </c>
      <c r="K100" s="14">
        <f>SUMIFS(Orders!$M$5:$M$154,Orders!$B$5:$B$154,$A100,Orders!$P$5:$P$154,"Cash",Orders!$Q$5:$Q$154,"Paid",Orders!$R$5:$R$154,"Completed")</f>
        <v>0</v>
      </c>
      <c r="L100" s="14">
        <f t="shared" si="10"/>
        <v>0</v>
      </c>
      <c r="M100" s="14">
        <f>SUMIFS(Expenses!$J$5:$J$104,Expenses!$B$5:$B$104,$A100,Expenses!$M$5:$M$104,"Paid")</f>
        <v>0</v>
      </c>
    </row>
    <row r="101" spans="1:13">
      <c r="A101" s="17">
        <f t="shared" si="11"/>
        <v>46300</v>
      </c>
      <c r="B101" s="14">
        <f>SUMIFS(Orders!$K$5:$K$154,Orders!$B$5:$B$154,$A101,Orders!$Q$5:$Q$154,"Paid",Orders!$R$5:$R$154,"Completed")</f>
        <v>0</v>
      </c>
      <c r="C101" s="14">
        <f>SUMIFS(Orders!$L$5:$L$154,Orders!$B$5:$B$154,$A101,Orders!$Q$5:$Q$154,"Paid",Orders!$R$5:$R$154,"Completed")</f>
        <v>0</v>
      </c>
      <c r="D101" s="14">
        <f>SUMIFS(Orders!$M$5:$M$154,Orders!$B$5:$B$154,$A101,Orders!$Q$5:$Q$154,"Paid",Orders!$R$5:$R$154,"Completed")</f>
        <v>0</v>
      </c>
      <c r="E101" s="14">
        <f>SUMIFS(Orders!$O$5:$O$154,Orders!$B$5:$B$154,$A101,Orders!$Q$5:$Q$154,"Paid",Orders!$R$5:$R$154,"Completed")</f>
        <v>0</v>
      </c>
      <c r="F101" s="14">
        <f>SUMIFS(Expenses!$J$5:$J$104,Expenses!$B$5:$B$104,$A101,Expenses!$L$5:$L$104,"Operating Expense",Expenses!$M$5:$M$104,"Paid")</f>
        <v>0</v>
      </c>
      <c r="G101" s="9">
        <f t="shared" ref="G101:G132" si="12">D101-E101</f>
        <v>0</v>
      </c>
      <c r="H101" s="9">
        <f t="shared" ref="H101:H132" si="13">G101-F101</f>
        <v>0</v>
      </c>
      <c r="I101" s="18">
        <f>SUMIFS(Orders!$U$5:$U$154,Orders!$B$5:$B$154,$A101)</f>
        <v>0</v>
      </c>
      <c r="J101" s="18">
        <f>SUMIFS(Orders!$H$5:$H$154,Orders!$B$5:$B$154,$A101,Orders!$Q$5:$Q$154,"Paid",Orders!$R$5:$R$154,"Completed")</f>
        <v>0</v>
      </c>
      <c r="K101" s="14">
        <f>SUMIFS(Orders!$M$5:$M$154,Orders!$B$5:$B$154,$A101,Orders!$P$5:$P$154,"Cash",Orders!$Q$5:$Q$154,"Paid",Orders!$R$5:$R$154,"Completed")</f>
        <v>0</v>
      </c>
      <c r="L101" s="14">
        <f t="shared" ref="L101:L132" si="14">D101-K101</f>
        <v>0</v>
      </c>
      <c r="M101" s="14">
        <f>SUMIFS(Expenses!$J$5:$J$104,Expenses!$B$5:$B$104,$A101,Expenses!$M$5:$M$104,"Paid")</f>
        <v>0</v>
      </c>
    </row>
    <row r="102" spans="1:13">
      <c r="A102" s="17">
        <f t="shared" ref="A102:A133" si="15">A101+1</f>
        <v>46301</v>
      </c>
      <c r="B102" s="14">
        <f>SUMIFS(Orders!$K$5:$K$154,Orders!$B$5:$B$154,$A102,Orders!$Q$5:$Q$154,"Paid",Orders!$R$5:$R$154,"Completed")</f>
        <v>0</v>
      </c>
      <c r="C102" s="14">
        <f>SUMIFS(Orders!$L$5:$L$154,Orders!$B$5:$B$154,$A102,Orders!$Q$5:$Q$154,"Paid",Orders!$R$5:$R$154,"Completed")</f>
        <v>0</v>
      </c>
      <c r="D102" s="14">
        <f>SUMIFS(Orders!$M$5:$M$154,Orders!$B$5:$B$154,$A102,Orders!$Q$5:$Q$154,"Paid",Orders!$R$5:$R$154,"Completed")</f>
        <v>0</v>
      </c>
      <c r="E102" s="14">
        <f>SUMIFS(Orders!$O$5:$O$154,Orders!$B$5:$B$154,$A102,Orders!$Q$5:$Q$154,"Paid",Orders!$R$5:$R$154,"Completed")</f>
        <v>0</v>
      </c>
      <c r="F102" s="14">
        <f>SUMIFS(Expenses!$J$5:$J$104,Expenses!$B$5:$B$104,$A102,Expenses!$L$5:$L$104,"Operating Expense",Expenses!$M$5:$M$104,"Paid")</f>
        <v>0</v>
      </c>
      <c r="G102" s="9">
        <f t="shared" si="12"/>
        <v>0</v>
      </c>
      <c r="H102" s="9">
        <f t="shared" si="13"/>
        <v>0</v>
      </c>
      <c r="I102" s="18">
        <f>SUMIFS(Orders!$U$5:$U$154,Orders!$B$5:$B$154,$A102)</f>
        <v>0</v>
      </c>
      <c r="J102" s="18">
        <f>SUMIFS(Orders!$H$5:$H$154,Orders!$B$5:$B$154,$A102,Orders!$Q$5:$Q$154,"Paid",Orders!$R$5:$R$154,"Completed")</f>
        <v>0</v>
      </c>
      <c r="K102" s="14">
        <f>SUMIFS(Orders!$M$5:$M$154,Orders!$B$5:$B$154,$A102,Orders!$P$5:$P$154,"Cash",Orders!$Q$5:$Q$154,"Paid",Orders!$R$5:$R$154,"Completed")</f>
        <v>0</v>
      </c>
      <c r="L102" s="14">
        <f t="shared" si="14"/>
        <v>0</v>
      </c>
      <c r="M102" s="14">
        <f>SUMIFS(Expenses!$J$5:$J$104,Expenses!$B$5:$B$104,$A102,Expenses!$M$5:$M$104,"Paid")</f>
        <v>0</v>
      </c>
    </row>
    <row r="103" spans="1:13">
      <c r="A103" s="17">
        <f t="shared" si="15"/>
        <v>46302</v>
      </c>
      <c r="B103" s="14">
        <f>SUMIFS(Orders!$K$5:$K$154,Orders!$B$5:$B$154,$A103,Orders!$Q$5:$Q$154,"Paid",Orders!$R$5:$R$154,"Completed")</f>
        <v>0</v>
      </c>
      <c r="C103" s="14">
        <f>SUMIFS(Orders!$L$5:$L$154,Orders!$B$5:$B$154,$A103,Orders!$Q$5:$Q$154,"Paid",Orders!$R$5:$R$154,"Completed")</f>
        <v>0</v>
      </c>
      <c r="D103" s="14">
        <f>SUMIFS(Orders!$M$5:$M$154,Orders!$B$5:$B$154,$A103,Orders!$Q$5:$Q$154,"Paid",Orders!$R$5:$R$154,"Completed")</f>
        <v>0</v>
      </c>
      <c r="E103" s="14">
        <f>SUMIFS(Orders!$O$5:$O$154,Orders!$B$5:$B$154,$A103,Orders!$Q$5:$Q$154,"Paid",Orders!$R$5:$R$154,"Completed")</f>
        <v>0</v>
      </c>
      <c r="F103" s="14">
        <f>SUMIFS(Expenses!$J$5:$J$104,Expenses!$B$5:$B$104,$A103,Expenses!$L$5:$L$104,"Operating Expense",Expenses!$M$5:$M$104,"Paid")</f>
        <v>0</v>
      </c>
      <c r="G103" s="9">
        <f t="shared" si="12"/>
        <v>0</v>
      </c>
      <c r="H103" s="9">
        <f t="shared" si="13"/>
        <v>0</v>
      </c>
      <c r="I103" s="18">
        <f>SUMIFS(Orders!$U$5:$U$154,Orders!$B$5:$B$154,$A103)</f>
        <v>0</v>
      </c>
      <c r="J103" s="18">
        <f>SUMIFS(Orders!$H$5:$H$154,Orders!$B$5:$B$154,$A103,Orders!$Q$5:$Q$154,"Paid",Orders!$R$5:$R$154,"Completed")</f>
        <v>0</v>
      </c>
      <c r="K103" s="14">
        <f>SUMIFS(Orders!$M$5:$M$154,Orders!$B$5:$B$154,$A103,Orders!$P$5:$P$154,"Cash",Orders!$Q$5:$Q$154,"Paid",Orders!$R$5:$R$154,"Completed")</f>
        <v>0</v>
      </c>
      <c r="L103" s="14">
        <f t="shared" si="14"/>
        <v>0</v>
      </c>
      <c r="M103" s="14">
        <f>SUMIFS(Expenses!$J$5:$J$104,Expenses!$B$5:$B$104,$A103,Expenses!$M$5:$M$104,"Paid")</f>
        <v>0</v>
      </c>
    </row>
    <row r="104" spans="1:13">
      <c r="A104" s="17">
        <f t="shared" si="15"/>
        <v>46303</v>
      </c>
      <c r="B104" s="14">
        <f>SUMIFS(Orders!$K$5:$K$154,Orders!$B$5:$B$154,$A104,Orders!$Q$5:$Q$154,"Paid",Orders!$R$5:$R$154,"Completed")</f>
        <v>0</v>
      </c>
      <c r="C104" s="14">
        <f>SUMIFS(Orders!$L$5:$L$154,Orders!$B$5:$B$154,$A104,Orders!$Q$5:$Q$154,"Paid",Orders!$R$5:$R$154,"Completed")</f>
        <v>0</v>
      </c>
      <c r="D104" s="14">
        <f>SUMIFS(Orders!$M$5:$M$154,Orders!$B$5:$B$154,$A104,Orders!$Q$5:$Q$154,"Paid",Orders!$R$5:$R$154,"Completed")</f>
        <v>0</v>
      </c>
      <c r="E104" s="14">
        <f>SUMIFS(Orders!$O$5:$O$154,Orders!$B$5:$B$154,$A104,Orders!$Q$5:$Q$154,"Paid",Orders!$R$5:$R$154,"Completed")</f>
        <v>0</v>
      </c>
      <c r="F104" s="14">
        <f>SUMIFS(Expenses!$J$5:$J$104,Expenses!$B$5:$B$104,$A104,Expenses!$L$5:$L$104,"Operating Expense",Expenses!$M$5:$M$104,"Paid")</f>
        <v>0</v>
      </c>
      <c r="G104" s="9">
        <f t="shared" si="12"/>
        <v>0</v>
      </c>
      <c r="H104" s="9">
        <f t="shared" si="13"/>
        <v>0</v>
      </c>
      <c r="I104" s="18">
        <f>SUMIFS(Orders!$U$5:$U$154,Orders!$B$5:$B$154,$A104)</f>
        <v>0</v>
      </c>
      <c r="J104" s="18">
        <f>SUMIFS(Orders!$H$5:$H$154,Orders!$B$5:$B$154,$A104,Orders!$Q$5:$Q$154,"Paid",Orders!$R$5:$R$154,"Completed")</f>
        <v>0</v>
      </c>
      <c r="K104" s="14">
        <f>SUMIFS(Orders!$M$5:$M$154,Orders!$B$5:$B$154,$A104,Orders!$P$5:$P$154,"Cash",Orders!$Q$5:$Q$154,"Paid",Orders!$R$5:$R$154,"Completed")</f>
        <v>0</v>
      </c>
      <c r="L104" s="14">
        <f t="shared" si="14"/>
        <v>0</v>
      </c>
      <c r="M104" s="14">
        <f>SUMIFS(Expenses!$J$5:$J$104,Expenses!$B$5:$B$104,$A104,Expenses!$M$5:$M$104,"Paid")</f>
        <v>0</v>
      </c>
    </row>
    <row r="105" spans="1:13">
      <c r="A105" s="17">
        <f t="shared" si="15"/>
        <v>46304</v>
      </c>
      <c r="B105" s="14">
        <f>SUMIFS(Orders!$K$5:$K$154,Orders!$B$5:$B$154,$A105,Orders!$Q$5:$Q$154,"Paid",Orders!$R$5:$R$154,"Completed")</f>
        <v>0</v>
      </c>
      <c r="C105" s="14">
        <f>SUMIFS(Orders!$L$5:$L$154,Orders!$B$5:$B$154,$A105,Orders!$Q$5:$Q$154,"Paid",Orders!$R$5:$R$154,"Completed")</f>
        <v>0</v>
      </c>
      <c r="D105" s="14">
        <f>SUMIFS(Orders!$M$5:$M$154,Orders!$B$5:$B$154,$A105,Orders!$Q$5:$Q$154,"Paid",Orders!$R$5:$R$154,"Completed")</f>
        <v>0</v>
      </c>
      <c r="E105" s="14">
        <f>SUMIFS(Orders!$O$5:$O$154,Orders!$B$5:$B$154,$A105,Orders!$Q$5:$Q$154,"Paid",Orders!$R$5:$R$154,"Completed")</f>
        <v>0</v>
      </c>
      <c r="F105" s="14">
        <f>SUMIFS(Expenses!$J$5:$J$104,Expenses!$B$5:$B$104,$A105,Expenses!$L$5:$L$104,"Operating Expense",Expenses!$M$5:$M$104,"Paid")</f>
        <v>0</v>
      </c>
      <c r="G105" s="9">
        <f t="shared" si="12"/>
        <v>0</v>
      </c>
      <c r="H105" s="9">
        <f t="shared" si="13"/>
        <v>0</v>
      </c>
      <c r="I105" s="18">
        <f>SUMIFS(Orders!$U$5:$U$154,Orders!$B$5:$B$154,$A105)</f>
        <v>0</v>
      </c>
      <c r="J105" s="18">
        <f>SUMIFS(Orders!$H$5:$H$154,Orders!$B$5:$B$154,$A105,Orders!$Q$5:$Q$154,"Paid",Orders!$R$5:$R$154,"Completed")</f>
        <v>0</v>
      </c>
      <c r="K105" s="14">
        <f>SUMIFS(Orders!$M$5:$M$154,Orders!$B$5:$B$154,$A105,Orders!$P$5:$P$154,"Cash",Orders!$Q$5:$Q$154,"Paid",Orders!$R$5:$R$154,"Completed")</f>
        <v>0</v>
      </c>
      <c r="L105" s="14">
        <f t="shared" si="14"/>
        <v>0</v>
      </c>
      <c r="M105" s="14">
        <f>SUMIFS(Expenses!$J$5:$J$104,Expenses!$B$5:$B$104,$A105,Expenses!$M$5:$M$104,"Paid")</f>
        <v>0</v>
      </c>
    </row>
    <row r="106" spans="1:13">
      <c r="A106" s="17">
        <f t="shared" si="15"/>
        <v>46305</v>
      </c>
      <c r="B106" s="14">
        <f>SUMIFS(Orders!$K$5:$K$154,Orders!$B$5:$B$154,$A106,Orders!$Q$5:$Q$154,"Paid",Orders!$R$5:$R$154,"Completed")</f>
        <v>0</v>
      </c>
      <c r="C106" s="14">
        <f>SUMIFS(Orders!$L$5:$L$154,Orders!$B$5:$B$154,$A106,Orders!$Q$5:$Q$154,"Paid",Orders!$R$5:$R$154,"Completed")</f>
        <v>0</v>
      </c>
      <c r="D106" s="14">
        <f>SUMIFS(Orders!$M$5:$M$154,Orders!$B$5:$B$154,$A106,Orders!$Q$5:$Q$154,"Paid",Orders!$R$5:$R$154,"Completed")</f>
        <v>0</v>
      </c>
      <c r="E106" s="14">
        <f>SUMIFS(Orders!$O$5:$O$154,Orders!$B$5:$B$154,$A106,Orders!$Q$5:$Q$154,"Paid",Orders!$R$5:$R$154,"Completed")</f>
        <v>0</v>
      </c>
      <c r="F106" s="14">
        <f>SUMIFS(Expenses!$J$5:$J$104,Expenses!$B$5:$B$104,$A106,Expenses!$L$5:$L$104,"Operating Expense",Expenses!$M$5:$M$104,"Paid")</f>
        <v>0</v>
      </c>
      <c r="G106" s="9">
        <f t="shared" si="12"/>
        <v>0</v>
      </c>
      <c r="H106" s="9">
        <f t="shared" si="13"/>
        <v>0</v>
      </c>
      <c r="I106" s="18">
        <f>SUMIFS(Orders!$U$5:$U$154,Orders!$B$5:$B$154,$A106)</f>
        <v>0</v>
      </c>
      <c r="J106" s="18">
        <f>SUMIFS(Orders!$H$5:$H$154,Orders!$B$5:$B$154,$A106,Orders!$Q$5:$Q$154,"Paid",Orders!$R$5:$R$154,"Completed")</f>
        <v>0</v>
      </c>
      <c r="K106" s="14">
        <f>SUMIFS(Orders!$M$5:$M$154,Orders!$B$5:$B$154,$A106,Orders!$P$5:$P$154,"Cash",Orders!$Q$5:$Q$154,"Paid",Orders!$R$5:$R$154,"Completed")</f>
        <v>0</v>
      </c>
      <c r="L106" s="14">
        <f t="shared" si="14"/>
        <v>0</v>
      </c>
      <c r="M106" s="14">
        <f>SUMIFS(Expenses!$J$5:$J$104,Expenses!$B$5:$B$104,$A106,Expenses!$M$5:$M$104,"Paid")</f>
        <v>0</v>
      </c>
    </row>
    <row r="107" spans="1:13">
      <c r="A107" s="17">
        <f t="shared" si="15"/>
        <v>46306</v>
      </c>
      <c r="B107" s="14">
        <f>SUMIFS(Orders!$K$5:$K$154,Orders!$B$5:$B$154,$A107,Orders!$Q$5:$Q$154,"Paid",Orders!$R$5:$R$154,"Completed")</f>
        <v>0</v>
      </c>
      <c r="C107" s="14">
        <f>SUMIFS(Orders!$L$5:$L$154,Orders!$B$5:$B$154,$A107,Orders!$Q$5:$Q$154,"Paid",Orders!$R$5:$R$154,"Completed")</f>
        <v>0</v>
      </c>
      <c r="D107" s="14">
        <f>SUMIFS(Orders!$M$5:$M$154,Orders!$B$5:$B$154,$A107,Orders!$Q$5:$Q$154,"Paid",Orders!$R$5:$R$154,"Completed")</f>
        <v>0</v>
      </c>
      <c r="E107" s="14">
        <f>SUMIFS(Orders!$O$5:$O$154,Orders!$B$5:$B$154,$A107,Orders!$Q$5:$Q$154,"Paid",Orders!$R$5:$R$154,"Completed")</f>
        <v>0</v>
      </c>
      <c r="F107" s="14">
        <f>SUMIFS(Expenses!$J$5:$J$104,Expenses!$B$5:$B$104,$A107,Expenses!$L$5:$L$104,"Operating Expense",Expenses!$M$5:$M$104,"Paid")</f>
        <v>0</v>
      </c>
      <c r="G107" s="9">
        <f t="shared" si="12"/>
        <v>0</v>
      </c>
      <c r="H107" s="9">
        <f t="shared" si="13"/>
        <v>0</v>
      </c>
      <c r="I107" s="18">
        <f>SUMIFS(Orders!$U$5:$U$154,Orders!$B$5:$B$154,$A107)</f>
        <v>0</v>
      </c>
      <c r="J107" s="18">
        <f>SUMIFS(Orders!$H$5:$H$154,Orders!$B$5:$B$154,$A107,Orders!$Q$5:$Q$154,"Paid",Orders!$R$5:$R$154,"Completed")</f>
        <v>0</v>
      </c>
      <c r="K107" s="14">
        <f>SUMIFS(Orders!$M$5:$M$154,Orders!$B$5:$B$154,$A107,Orders!$P$5:$P$154,"Cash",Orders!$Q$5:$Q$154,"Paid",Orders!$R$5:$R$154,"Completed")</f>
        <v>0</v>
      </c>
      <c r="L107" s="14">
        <f t="shared" si="14"/>
        <v>0</v>
      </c>
      <c r="M107" s="14">
        <f>SUMIFS(Expenses!$J$5:$J$104,Expenses!$B$5:$B$104,$A107,Expenses!$M$5:$M$104,"Paid")</f>
        <v>0</v>
      </c>
    </row>
    <row r="108" spans="1:13">
      <c r="A108" s="17">
        <f t="shared" si="15"/>
        <v>46307</v>
      </c>
      <c r="B108" s="14">
        <f>SUMIFS(Orders!$K$5:$K$154,Orders!$B$5:$B$154,$A108,Orders!$Q$5:$Q$154,"Paid",Orders!$R$5:$R$154,"Completed")</f>
        <v>0</v>
      </c>
      <c r="C108" s="14">
        <f>SUMIFS(Orders!$L$5:$L$154,Orders!$B$5:$B$154,$A108,Orders!$Q$5:$Q$154,"Paid",Orders!$R$5:$R$154,"Completed")</f>
        <v>0</v>
      </c>
      <c r="D108" s="14">
        <f>SUMIFS(Orders!$M$5:$M$154,Orders!$B$5:$B$154,$A108,Orders!$Q$5:$Q$154,"Paid",Orders!$R$5:$R$154,"Completed")</f>
        <v>0</v>
      </c>
      <c r="E108" s="14">
        <f>SUMIFS(Orders!$O$5:$O$154,Orders!$B$5:$B$154,$A108,Orders!$Q$5:$Q$154,"Paid",Orders!$R$5:$R$154,"Completed")</f>
        <v>0</v>
      </c>
      <c r="F108" s="14">
        <f>SUMIFS(Expenses!$J$5:$J$104,Expenses!$B$5:$B$104,$A108,Expenses!$L$5:$L$104,"Operating Expense",Expenses!$M$5:$M$104,"Paid")</f>
        <v>0</v>
      </c>
      <c r="G108" s="9">
        <f t="shared" si="12"/>
        <v>0</v>
      </c>
      <c r="H108" s="9">
        <f t="shared" si="13"/>
        <v>0</v>
      </c>
      <c r="I108" s="18">
        <f>SUMIFS(Orders!$U$5:$U$154,Orders!$B$5:$B$154,$A108)</f>
        <v>0</v>
      </c>
      <c r="J108" s="18">
        <f>SUMIFS(Orders!$H$5:$H$154,Orders!$B$5:$B$154,$A108,Orders!$Q$5:$Q$154,"Paid",Orders!$R$5:$R$154,"Completed")</f>
        <v>0</v>
      </c>
      <c r="K108" s="14">
        <f>SUMIFS(Orders!$M$5:$M$154,Orders!$B$5:$B$154,$A108,Orders!$P$5:$P$154,"Cash",Orders!$Q$5:$Q$154,"Paid",Orders!$R$5:$R$154,"Completed")</f>
        <v>0</v>
      </c>
      <c r="L108" s="14">
        <f t="shared" si="14"/>
        <v>0</v>
      </c>
      <c r="M108" s="14">
        <f>SUMIFS(Expenses!$J$5:$J$104,Expenses!$B$5:$B$104,$A108,Expenses!$M$5:$M$104,"Paid")</f>
        <v>0</v>
      </c>
    </row>
    <row r="109" spans="1:13">
      <c r="A109" s="17">
        <f t="shared" si="15"/>
        <v>46308</v>
      </c>
      <c r="B109" s="14">
        <f>SUMIFS(Orders!$K$5:$K$154,Orders!$B$5:$B$154,$A109,Orders!$Q$5:$Q$154,"Paid",Orders!$R$5:$R$154,"Completed")</f>
        <v>0</v>
      </c>
      <c r="C109" s="14">
        <f>SUMIFS(Orders!$L$5:$L$154,Orders!$B$5:$B$154,$A109,Orders!$Q$5:$Q$154,"Paid",Orders!$R$5:$R$154,"Completed")</f>
        <v>0</v>
      </c>
      <c r="D109" s="14">
        <f>SUMIFS(Orders!$M$5:$M$154,Orders!$B$5:$B$154,$A109,Orders!$Q$5:$Q$154,"Paid",Orders!$R$5:$R$154,"Completed")</f>
        <v>0</v>
      </c>
      <c r="E109" s="14">
        <f>SUMIFS(Orders!$O$5:$O$154,Orders!$B$5:$B$154,$A109,Orders!$Q$5:$Q$154,"Paid",Orders!$R$5:$R$154,"Completed")</f>
        <v>0</v>
      </c>
      <c r="F109" s="14">
        <f>SUMIFS(Expenses!$J$5:$J$104,Expenses!$B$5:$B$104,$A109,Expenses!$L$5:$L$104,"Operating Expense",Expenses!$M$5:$M$104,"Paid")</f>
        <v>0</v>
      </c>
      <c r="G109" s="9">
        <f t="shared" si="12"/>
        <v>0</v>
      </c>
      <c r="H109" s="9">
        <f t="shared" si="13"/>
        <v>0</v>
      </c>
      <c r="I109" s="18">
        <f>SUMIFS(Orders!$U$5:$U$154,Orders!$B$5:$B$154,$A109)</f>
        <v>0</v>
      </c>
      <c r="J109" s="18">
        <f>SUMIFS(Orders!$H$5:$H$154,Orders!$B$5:$B$154,$A109,Orders!$Q$5:$Q$154,"Paid",Orders!$R$5:$R$154,"Completed")</f>
        <v>0</v>
      </c>
      <c r="K109" s="14">
        <f>SUMIFS(Orders!$M$5:$M$154,Orders!$B$5:$B$154,$A109,Orders!$P$5:$P$154,"Cash",Orders!$Q$5:$Q$154,"Paid",Orders!$R$5:$R$154,"Completed")</f>
        <v>0</v>
      </c>
      <c r="L109" s="14">
        <f t="shared" si="14"/>
        <v>0</v>
      </c>
      <c r="M109" s="14">
        <f>SUMIFS(Expenses!$J$5:$J$104,Expenses!$B$5:$B$104,$A109,Expenses!$M$5:$M$104,"Paid")</f>
        <v>0</v>
      </c>
    </row>
    <row r="110" spans="1:13">
      <c r="A110" s="17">
        <f t="shared" si="15"/>
        <v>46309</v>
      </c>
      <c r="B110" s="14">
        <f>SUMIFS(Orders!$K$5:$K$154,Orders!$B$5:$B$154,$A110,Orders!$Q$5:$Q$154,"Paid",Orders!$R$5:$R$154,"Completed")</f>
        <v>0</v>
      </c>
      <c r="C110" s="14">
        <f>SUMIFS(Orders!$L$5:$L$154,Orders!$B$5:$B$154,$A110,Orders!$Q$5:$Q$154,"Paid",Orders!$R$5:$R$154,"Completed")</f>
        <v>0</v>
      </c>
      <c r="D110" s="14">
        <f>SUMIFS(Orders!$M$5:$M$154,Orders!$B$5:$B$154,$A110,Orders!$Q$5:$Q$154,"Paid",Orders!$R$5:$R$154,"Completed")</f>
        <v>0</v>
      </c>
      <c r="E110" s="14">
        <f>SUMIFS(Orders!$O$5:$O$154,Orders!$B$5:$B$154,$A110,Orders!$Q$5:$Q$154,"Paid",Orders!$R$5:$R$154,"Completed")</f>
        <v>0</v>
      </c>
      <c r="F110" s="14">
        <f>SUMIFS(Expenses!$J$5:$J$104,Expenses!$B$5:$B$104,$A110,Expenses!$L$5:$L$104,"Operating Expense",Expenses!$M$5:$M$104,"Paid")</f>
        <v>0</v>
      </c>
      <c r="G110" s="9">
        <f t="shared" si="12"/>
        <v>0</v>
      </c>
      <c r="H110" s="9">
        <f t="shared" si="13"/>
        <v>0</v>
      </c>
      <c r="I110" s="18">
        <f>SUMIFS(Orders!$U$5:$U$154,Orders!$B$5:$B$154,$A110)</f>
        <v>0</v>
      </c>
      <c r="J110" s="18">
        <f>SUMIFS(Orders!$H$5:$H$154,Orders!$B$5:$B$154,$A110,Orders!$Q$5:$Q$154,"Paid",Orders!$R$5:$R$154,"Completed")</f>
        <v>0</v>
      </c>
      <c r="K110" s="14">
        <f>SUMIFS(Orders!$M$5:$M$154,Orders!$B$5:$B$154,$A110,Orders!$P$5:$P$154,"Cash",Orders!$Q$5:$Q$154,"Paid",Orders!$R$5:$R$154,"Completed")</f>
        <v>0</v>
      </c>
      <c r="L110" s="14">
        <f t="shared" si="14"/>
        <v>0</v>
      </c>
      <c r="M110" s="14">
        <f>SUMIFS(Expenses!$J$5:$J$104,Expenses!$B$5:$B$104,$A110,Expenses!$M$5:$M$104,"Paid")</f>
        <v>0</v>
      </c>
    </row>
    <row r="111" spans="1:13">
      <c r="A111" s="17">
        <f t="shared" si="15"/>
        <v>46310</v>
      </c>
      <c r="B111" s="14">
        <f>SUMIFS(Orders!$K$5:$K$154,Orders!$B$5:$B$154,$A111,Orders!$Q$5:$Q$154,"Paid",Orders!$R$5:$R$154,"Completed")</f>
        <v>0</v>
      </c>
      <c r="C111" s="14">
        <f>SUMIFS(Orders!$L$5:$L$154,Orders!$B$5:$B$154,$A111,Orders!$Q$5:$Q$154,"Paid",Orders!$R$5:$R$154,"Completed")</f>
        <v>0</v>
      </c>
      <c r="D111" s="14">
        <f>SUMIFS(Orders!$M$5:$M$154,Orders!$B$5:$B$154,$A111,Orders!$Q$5:$Q$154,"Paid",Orders!$R$5:$R$154,"Completed")</f>
        <v>0</v>
      </c>
      <c r="E111" s="14">
        <f>SUMIFS(Orders!$O$5:$O$154,Orders!$B$5:$B$154,$A111,Orders!$Q$5:$Q$154,"Paid",Orders!$R$5:$R$154,"Completed")</f>
        <v>0</v>
      </c>
      <c r="F111" s="14">
        <f>SUMIFS(Expenses!$J$5:$J$104,Expenses!$B$5:$B$104,$A111,Expenses!$L$5:$L$104,"Operating Expense",Expenses!$M$5:$M$104,"Paid")</f>
        <v>0</v>
      </c>
      <c r="G111" s="9">
        <f t="shared" si="12"/>
        <v>0</v>
      </c>
      <c r="H111" s="9">
        <f t="shared" si="13"/>
        <v>0</v>
      </c>
      <c r="I111" s="18">
        <f>SUMIFS(Orders!$U$5:$U$154,Orders!$B$5:$B$154,$A111)</f>
        <v>0</v>
      </c>
      <c r="J111" s="18">
        <f>SUMIFS(Orders!$H$5:$H$154,Orders!$B$5:$B$154,$A111,Orders!$Q$5:$Q$154,"Paid",Orders!$R$5:$R$154,"Completed")</f>
        <v>0</v>
      </c>
      <c r="K111" s="14">
        <f>SUMIFS(Orders!$M$5:$M$154,Orders!$B$5:$B$154,$A111,Orders!$P$5:$P$154,"Cash",Orders!$Q$5:$Q$154,"Paid",Orders!$R$5:$R$154,"Completed")</f>
        <v>0</v>
      </c>
      <c r="L111" s="14">
        <f t="shared" si="14"/>
        <v>0</v>
      </c>
      <c r="M111" s="14">
        <f>SUMIFS(Expenses!$J$5:$J$104,Expenses!$B$5:$B$104,$A111,Expenses!$M$5:$M$104,"Paid")</f>
        <v>0</v>
      </c>
    </row>
    <row r="112" spans="1:13">
      <c r="A112" s="17">
        <f t="shared" si="15"/>
        <v>46311</v>
      </c>
      <c r="B112" s="14">
        <f>SUMIFS(Orders!$K$5:$K$154,Orders!$B$5:$B$154,$A112,Orders!$Q$5:$Q$154,"Paid",Orders!$R$5:$R$154,"Completed")</f>
        <v>0</v>
      </c>
      <c r="C112" s="14">
        <f>SUMIFS(Orders!$L$5:$L$154,Orders!$B$5:$B$154,$A112,Orders!$Q$5:$Q$154,"Paid",Orders!$R$5:$R$154,"Completed")</f>
        <v>0</v>
      </c>
      <c r="D112" s="14">
        <f>SUMIFS(Orders!$M$5:$M$154,Orders!$B$5:$B$154,$A112,Orders!$Q$5:$Q$154,"Paid",Orders!$R$5:$R$154,"Completed")</f>
        <v>0</v>
      </c>
      <c r="E112" s="14">
        <f>SUMIFS(Orders!$O$5:$O$154,Orders!$B$5:$B$154,$A112,Orders!$Q$5:$Q$154,"Paid",Orders!$R$5:$R$154,"Completed")</f>
        <v>0</v>
      </c>
      <c r="F112" s="14">
        <f>SUMIFS(Expenses!$J$5:$J$104,Expenses!$B$5:$B$104,$A112,Expenses!$L$5:$L$104,"Operating Expense",Expenses!$M$5:$M$104,"Paid")</f>
        <v>0</v>
      </c>
      <c r="G112" s="9">
        <f t="shared" si="12"/>
        <v>0</v>
      </c>
      <c r="H112" s="9">
        <f t="shared" si="13"/>
        <v>0</v>
      </c>
      <c r="I112" s="18">
        <f>SUMIFS(Orders!$U$5:$U$154,Orders!$B$5:$B$154,$A112)</f>
        <v>0</v>
      </c>
      <c r="J112" s="18">
        <f>SUMIFS(Orders!$H$5:$H$154,Orders!$B$5:$B$154,$A112,Orders!$Q$5:$Q$154,"Paid",Orders!$R$5:$R$154,"Completed")</f>
        <v>0</v>
      </c>
      <c r="K112" s="14">
        <f>SUMIFS(Orders!$M$5:$M$154,Orders!$B$5:$B$154,$A112,Orders!$P$5:$P$154,"Cash",Orders!$Q$5:$Q$154,"Paid",Orders!$R$5:$R$154,"Completed")</f>
        <v>0</v>
      </c>
      <c r="L112" s="14">
        <f t="shared" si="14"/>
        <v>0</v>
      </c>
      <c r="M112" s="14">
        <f>SUMIFS(Expenses!$J$5:$J$104,Expenses!$B$5:$B$104,$A112,Expenses!$M$5:$M$104,"Paid")</f>
        <v>0</v>
      </c>
    </row>
    <row r="113" spans="1:13">
      <c r="A113" s="17">
        <f t="shared" si="15"/>
        <v>46312</v>
      </c>
      <c r="B113" s="14">
        <f>SUMIFS(Orders!$K$5:$K$154,Orders!$B$5:$B$154,$A113,Orders!$Q$5:$Q$154,"Paid",Orders!$R$5:$R$154,"Completed")</f>
        <v>0</v>
      </c>
      <c r="C113" s="14">
        <f>SUMIFS(Orders!$L$5:$L$154,Orders!$B$5:$B$154,$A113,Orders!$Q$5:$Q$154,"Paid",Orders!$R$5:$R$154,"Completed")</f>
        <v>0</v>
      </c>
      <c r="D113" s="14">
        <f>SUMIFS(Orders!$M$5:$M$154,Orders!$B$5:$B$154,$A113,Orders!$Q$5:$Q$154,"Paid",Orders!$R$5:$R$154,"Completed")</f>
        <v>0</v>
      </c>
      <c r="E113" s="14">
        <f>SUMIFS(Orders!$O$5:$O$154,Orders!$B$5:$B$154,$A113,Orders!$Q$5:$Q$154,"Paid",Orders!$R$5:$R$154,"Completed")</f>
        <v>0</v>
      </c>
      <c r="F113" s="14">
        <f>SUMIFS(Expenses!$J$5:$J$104,Expenses!$B$5:$B$104,$A113,Expenses!$L$5:$L$104,"Operating Expense",Expenses!$M$5:$M$104,"Paid")</f>
        <v>0</v>
      </c>
      <c r="G113" s="9">
        <f t="shared" si="12"/>
        <v>0</v>
      </c>
      <c r="H113" s="9">
        <f t="shared" si="13"/>
        <v>0</v>
      </c>
      <c r="I113" s="18">
        <f>SUMIFS(Orders!$U$5:$U$154,Orders!$B$5:$B$154,$A113)</f>
        <v>0</v>
      </c>
      <c r="J113" s="18">
        <f>SUMIFS(Orders!$H$5:$H$154,Orders!$B$5:$B$154,$A113,Orders!$Q$5:$Q$154,"Paid",Orders!$R$5:$R$154,"Completed")</f>
        <v>0</v>
      </c>
      <c r="K113" s="14">
        <f>SUMIFS(Orders!$M$5:$M$154,Orders!$B$5:$B$154,$A113,Orders!$P$5:$P$154,"Cash",Orders!$Q$5:$Q$154,"Paid",Orders!$R$5:$R$154,"Completed")</f>
        <v>0</v>
      </c>
      <c r="L113" s="14">
        <f t="shared" si="14"/>
        <v>0</v>
      </c>
      <c r="M113" s="14">
        <f>SUMIFS(Expenses!$J$5:$J$104,Expenses!$B$5:$B$104,$A113,Expenses!$M$5:$M$104,"Paid")</f>
        <v>0</v>
      </c>
    </row>
    <row r="114" spans="1:13">
      <c r="A114" s="17">
        <f t="shared" si="15"/>
        <v>46313</v>
      </c>
      <c r="B114" s="14">
        <f>SUMIFS(Orders!$K$5:$K$154,Orders!$B$5:$B$154,$A114,Orders!$Q$5:$Q$154,"Paid",Orders!$R$5:$R$154,"Completed")</f>
        <v>0</v>
      </c>
      <c r="C114" s="14">
        <f>SUMIFS(Orders!$L$5:$L$154,Orders!$B$5:$B$154,$A114,Orders!$Q$5:$Q$154,"Paid",Orders!$R$5:$R$154,"Completed")</f>
        <v>0</v>
      </c>
      <c r="D114" s="14">
        <f>SUMIFS(Orders!$M$5:$M$154,Orders!$B$5:$B$154,$A114,Orders!$Q$5:$Q$154,"Paid",Orders!$R$5:$R$154,"Completed")</f>
        <v>0</v>
      </c>
      <c r="E114" s="14">
        <f>SUMIFS(Orders!$O$5:$O$154,Orders!$B$5:$B$154,$A114,Orders!$Q$5:$Q$154,"Paid",Orders!$R$5:$R$154,"Completed")</f>
        <v>0</v>
      </c>
      <c r="F114" s="14">
        <f>SUMIFS(Expenses!$J$5:$J$104,Expenses!$B$5:$B$104,$A114,Expenses!$L$5:$L$104,"Operating Expense",Expenses!$M$5:$M$104,"Paid")</f>
        <v>0</v>
      </c>
      <c r="G114" s="9">
        <f t="shared" si="12"/>
        <v>0</v>
      </c>
      <c r="H114" s="9">
        <f t="shared" si="13"/>
        <v>0</v>
      </c>
      <c r="I114" s="18">
        <f>SUMIFS(Orders!$U$5:$U$154,Orders!$B$5:$B$154,$A114)</f>
        <v>0</v>
      </c>
      <c r="J114" s="18">
        <f>SUMIFS(Orders!$H$5:$H$154,Orders!$B$5:$B$154,$A114,Orders!$Q$5:$Q$154,"Paid",Orders!$R$5:$R$154,"Completed")</f>
        <v>0</v>
      </c>
      <c r="K114" s="14">
        <f>SUMIFS(Orders!$M$5:$M$154,Orders!$B$5:$B$154,$A114,Orders!$P$5:$P$154,"Cash",Orders!$Q$5:$Q$154,"Paid",Orders!$R$5:$R$154,"Completed")</f>
        <v>0</v>
      </c>
      <c r="L114" s="14">
        <f t="shared" si="14"/>
        <v>0</v>
      </c>
      <c r="M114" s="14">
        <f>SUMIFS(Expenses!$J$5:$J$104,Expenses!$B$5:$B$104,$A114,Expenses!$M$5:$M$104,"Paid")</f>
        <v>0</v>
      </c>
    </row>
    <row r="115" spans="1:13">
      <c r="A115" s="17">
        <f t="shared" si="15"/>
        <v>46314</v>
      </c>
      <c r="B115" s="14">
        <f>SUMIFS(Orders!$K$5:$K$154,Orders!$B$5:$B$154,$A115,Orders!$Q$5:$Q$154,"Paid",Orders!$R$5:$R$154,"Completed")</f>
        <v>0</v>
      </c>
      <c r="C115" s="14">
        <f>SUMIFS(Orders!$L$5:$L$154,Orders!$B$5:$B$154,$A115,Orders!$Q$5:$Q$154,"Paid",Orders!$R$5:$R$154,"Completed")</f>
        <v>0</v>
      </c>
      <c r="D115" s="14">
        <f>SUMIFS(Orders!$M$5:$M$154,Orders!$B$5:$B$154,$A115,Orders!$Q$5:$Q$154,"Paid",Orders!$R$5:$R$154,"Completed")</f>
        <v>0</v>
      </c>
      <c r="E115" s="14">
        <f>SUMIFS(Orders!$O$5:$O$154,Orders!$B$5:$B$154,$A115,Orders!$Q$5:$Q$154,"Paid",Orders!$R$5:$R$154,"Completed")</f>
        <v>0</v>
      </c>
      <c r="F115" s="14">
        <f>SUMIFS(Expenses!$J$5:$J$104,Expenses!$B$5:$B$104,$A115,Expenses!$L$5:$L$104,"Operating Expense",Expenses!$M$5:$M$104,"Paid")</f>
        <v>0</v>
      </c>
      <c r="G115" s="9">
        <f t="shared" si="12"/>
        <v>0</v>
      </c>
      <c r="H115" s="9">
        <f t="shared" si="13"/>
        <v>0</v>
      </c>
      <c r="I115" s="18">
        <f>SUMIFS(Orders!$U$5:$U$154,Orders!$B$5:$B$154,$A115)</f>
        <v>0</v>
      </c>
      <c r="J115" s="18">
        <f>SUMIFS(Orders!$H$5:$H$154,Orders!$B$5:$B$154,$A115,Orders!$Q$5:$Q$154,"Paid",Orders!$R$5:$R$154,"Completed")</f>
        <v>0</v>
      </c>
      <c r="K115" s="14">
        <f>SUMIFS(Orders!$M$5:$M$154,Orders!$B$5:$B$154,$A115,Orders!$P$5:$P$154,"Cash",Orders!$Q$5:$Q$154,"Paid",Orders!$R$5:$R$154,"Completed")</f>
        <v>0</v>
      </c>
      <c r="L115" s="14">
        <f t="shared" si="14"/>
        <v>0</v>
      </c>
      <c r="M115" s="14">
        <f>SUMIFS(Expenses!$J$5:$J$104,Expenses!$B$5:$B$104,$A115,Expenses!$M$5:$M$104,"Paid")</f>
        <v>0</v>
      </c>
    </row>
    <row r="116" spans="1:13">
      <c r="A116" s="17">
        <f t="shared" si="15"/>
        <v>46315</v>
      </c>
      <c r="B116" s="14">
        <f>SUMIFS(Orders!$K$5:$K$154,Orders!$B$5:$B$154,$A116,Orders!$Q$5:$Q$154,"Paid",Orders!$R$5:$R$154,"Completed")</f>
        <v>0</v>
      </c>
      <c r="C116" s="14">
        <f>SUMIFS(Orders!$L$5:$L$154,Orders!$B$5:$B$154,$A116,Orders!$Q$5:$Q$154,"Paid",Orders!$R$5:$R$154,"Completed")</f>
        <v>0</v>
      </c>
      <c r="D116" s="14">
        <f>SUMIFS(Orders!$M$5:$M$154,Orders!$B$5:$B$154,$A116,Orders!$Q$5:$Q$154,"Paid",Orders!$R$5:$R$154,"Completed")</f>
        <v>0</v>
      </c>
      <c r="E116" s="14">
        <f>SUMIFS(Orders!$O$5:$O$154,Orders!$B$5:$B$154,$A116,Orders!$Q$5:$Q$154,"Paid",Orders!$R$5:$R$154,"Completed")</f>
        <v>0</v>
      </c>
      <c r="F116" s="14">
        <f>SUMIFS(Expenses!$J$5:$J$104,Expenses!$B$5:$B$104,$A116,Expenses!$L$5:$L$104,"Operating Expense",Expenses!$M$5:$M$104,"Paid")</f>
        <v>0</v>
      </c>
      <c r="G116" s="9">
        <f t="shared" si="12"/>
        <v>0</v>
      </c>
      <c r="H116" s="9">
        <f t="shared" si="13"/>
        <v>0</v>
      </c>
      <c r="I116" s="18">
        <f>SUMIFS(Orders!$U$5:$U$154,Orders!$B$5:$B$154,$A116)</f>
        <v>0</v>
      </c>
      <c r="J116" s="18">
        <f>SUMIFS(Orders!$H$5:$H$154,Orders!$B$5:$B$154,$A116,Orders!$Q$5:$Q$154,"Paid",Orders!$R$5:$R$154,"Completed")</f>
        <v>0</v>
      </c>
      <c r="K116" s="14">
        <f>SUMIFS(Orders!$M$5:$M$154,Orders!$B$5:$B$154,$A116,Orders!$P$5:$P$154,"Cash",Orders!$Q$5:$Q$154,"Paid",Orders!$R$5:$R$154,"Completed")</f>
        <v>0</v>
      </c>
      <c r="L116" s="14">
        <f t="shared" si="14"/>
        <v>0</v>
      </c>
      <c r="M116" s="14">
        <f>SUMIFS(Expenses!$J$5:$J$104,Expenses!$B$5:$B$104,$A116,Expenses!$M$5:$M$104,"Paid")</f>
        <v>0</v>
      </c>
    </row>
    <row r="117" spans="1:13">
      <c r="A117" s="17">
        <f t="shared" si="15"/>
        <v>46316</v>
      </c>
      <c r="B117" s="14">
        <f>SUMIFS(Orders!$K$5:$K$154,Orders!$B$5:$B$154,$A117,Orders!$Q$5:$Q$154,"Paid",Orders!$R$5:$R$154,"Completed")</f>
        <v>0</v>
      </c>
      <c r="C117" s="14">
        <f>SUMIFS(Orders!$L$5:$L$154,Orders!$B$5:$B$154,$A117,Orders!$Q$5:$Q$154,"Paid",Orders!$R$5:$R$154,"Completed")</f>
        <v>0</v>
      </c>
      <c r="D117" s="14">
        <f>SUMIFS(Orders!$M$5:$M$154,Orders!$B$5:$B$154,$A117,Orders!$Q$5:$Q$154,"Paid",Orders!$R$5:$R$154,"Completed")</f>
        <v>0</v>
      </c>
      <c r="E117" s="14">
        <f>SUMIFS(Orders!$O$5:$O$154,Orders!$B$5:$B$154,$A117,Orders!$Q$5:$Q$154,"Paid",Orders!$R$5:$R$154,"Completed")</f>
        <v>0</v>
      </c>
      <c r="F117" s="14">
        <f>SUMIFS(Expenses!$J$5:$J$104,Expenses!$B$5:$B$104,$A117,Expenses!$L$5:$L$104,"Operating Expense",Expenses!$M$5:$M$104,"Paid")</f>
        <v>0</v>
      </c>
      <c r="G117" s="9">
        <f t="shared" si="12"/>
        <v>0</v>
      </c>
      <c r="H117" s="9">
        <f t="shared" si="13"/>
        <v>0</v>
      </c>
      <c r="I117" s="18">
        <f>SUMIFS(Orders!$U$5:$U$154,Orders!$B$5:$B$154,$A117)</f>
        <v>0</v>
      </c>
      <c r="J117" s="18">
        <f>SUMIFS(Orders!$H$5:$H$154,Orders!$B$5:$B$154,$A117,Orders!$Q$5:$Q$154,"Paid",Orders!$R$5:$R$154,"Completed")</f>
        <v>0</v>
      </c>
      <c r="K117" s="14">
        <f>SUMIFS(Orders!$M$5:$M$154,Orders!$B$5:$B$154,$A117,Orders!$P$5:$P$154,"Cash",Orders!$Q$5:$Q$154,"Paid",Orders!$R$5:$R$154,"Completed")</f>
        <v>0</v>
      </c>
      <c r="L117" s="14">
        <f t="shared" si="14"/>
        <v>0</v>
      </c>
      <c r="M117" s="14">
        <f>SUMIFS(Expenses!$J$5:$J$104,Expenses!$B$5:$B$104,$A117,Expenses!$M$5:$M$104,"Paid")</f>
        <v>0</v>
      </c>
    </row>
    <row r="118" spans="1:13">
      <c r="A118" s="17">
        <f t="shared" si="15"/>
        <v>46317</v>
      </c>
      <c r="B118" s="14">
        <f>SUMIFS(Orders!$K$5:$K$154,Orders!$B$5:$B$154,$A118,Orders!$Q$5:$Q$154,"Paid",Orders!$R$5:$R$154,"Completed")</f>
        <v>0</v>
      </c>
      <c r="C118" s="14">
        <f>SUMIFS(Orders!$L$5:$L$154,Orders!$B$5:$B$154,$A118,Orders!$Q$5:$Q$154,"Paid",Orders!$R$5:$R$154,"Completed")</f>
        <v>0</v>
      </c>
      <c r="D118" s="14">
        <f>SUMIFS(Orders!$M$5:$M$154,Orders!$B$5:$B$154,$A118,Orders!$Q$5:$Q$154,"Paid",Orders!$R$5:$R$154,"Completed")</f>
        <v>0</v>
      </c>
      <c r="E118" s="14">
        <f>SUMIFS(Orders!$O$5:$O$154,Orders!$B$5:$B$154,$A118,Orders!$Q$5:$Q$154,"Paid",Orders!$R$5:$R$154,"Completed")</f>
        <v>0</v>
      </c>
      <c r="F118" s="14">
        <f>SUMIFS(Expenses!$J$5:$J$104,Expenses!$B$5:$B$104,$A118,Expenses!$L$5:$L$104,"Operating Expense",Expenses!$M$5:$M$104,"Paid")</f>
        <v>0</v>
      </c>
      <c r="G118" s="9">
        <f t="shared" si="12"/>
        <v>0</v>
      </c>
      <c r="H118" s="9">
        <f t="shared" si="13"/>
        <v>0</v>
      </c>
      <c r="I118" s="18">
        <f>SUMIFS(Orders!$U$5:$U$154,Orders!$B$5:$B$154,$A118)</f>
        <v>0</v>
      </c>
      <c r="J118" s="18">
        <f>SUMIFS(Orders!$H$5:$H$154,Orders!$B$5:$B$154,$A118,Orders!$Q$5:$Q$154,"Paid",Orders!$R$5:$R$154,"Completed")</f>
        <v>0</v>
      </c>
      <c r="K118" s="14">
        <f>SUMIFS(Orders!$M$5:$M$154,Orders!$B$5:$B$154,$A118,Orders!$P$5:$P$154,"Cash",Orders!$Q$5:$Q$154,"Paid",Orders!$R$5:$R$154,"Completed")</f>
        <v>0</v>
      </c>
      <c r="L118" s="14">
        <f t="shared" si="14"/>
        <v>0</v>
      </c>
      <c r="M118" s="14">
        <f>SUMIFS(Expenses!$J$5:$J$104,Expenses!$B$5:$B$104,$A118,Expenses!$M$5:$M$104,"Paid")</f>
        <v>0</v>
      </c>
    </row>
    <row r="119" spans="1:13">
      <c r="A119" s="17">
        <f t="shared" si="15"/>
        <v>46318</v>
      </c>
      <c r="B119" s="14">
        <f>SUMIFS(Orders!$K$5:$K$154,Orders!$B$5:$B$154,$A119,Orders!$Q$5:$Q$154,"Paid",Orders!$R$5:$R$154,"Completed")</f>
        <v>0</v>
      </c>
      <c r="C119" s="14">
        <f>SUMIFS(Orders!$L$5:$L$154,Orders!$B$5:$B$154,$A119,Orders!$Q$5:$Q$154,"Paid",Orders!$R$5:$R$154,"Completed")</f>
        <v>0</v>
      </c>
      <c r="D119" s="14">
        <f>SUMIFS(Orders!$M$5:$M$154,Orders!$B$5:$B$154,$A119,Orders!$Q$5:$Q$154,"Paid",Orders!$R$5:$R$154,"Completed")</f>
        <v>0</v>
      </c>
      <c r="E119" s="14">
        <f>SUMIFS(Orders!$O$5:$O$154,Orders!$B$5:$B$154,$A119,Orders!$Q$5:$Q$154,"Paid",Orders!$R$5:$R$154,"Completed")</f>
        <v>0</v>
      </c>
      <c r="F119" s="14">
        <f>SUMIFS(Expenses!$J$5:$J$104,Expenses!$B$5:$B$104,$A119,Expenses!$L$5:$L$104,"Operating Expense",Expenses!$M$5:$M$104,"Paid")</f>
        <v>0</v>
      </c>
      <c r="G119" s="9">
        <f t="shared" si="12"/>
        <v>0</v>
      </c>
      <c r="H119" s="9">
        <f t="shared" si="13"/>
        <v>0</v>
      </c>
      <c r="I119" s="18">
        <f>SUMIFS(Orders!$U$5:$U$154,Orders!$B$5:$B$154,$A119)</f>
        <v>0</v>
      </c>
      <c r="J119" s="18">
        <f>SUMIFS(Orders!$H$5:$H$154,Orders!$B$5:$B$154,$A119,Orders!$Q$5:$Q$154,"Paid",Orders!$R$5:$R$154,"Completed")</f>
        <v>0</v>
      </c>
      <c r="K119" s="14">
        <f>SUMIFS(Orders!$M$5:$M$154,Orders!$B$5:$B$154,$A119,Orders!$P$5:$P$154,"Cash",Orders!$Q$5:$Q$154,"Paid",Orders!$R$5:$R$154,"Completed")</f>
        <v>0</v>
      </c>
      <c r="L119" s="14">
        <f t="shared" si="14"/>
        <v>0</v>
      </c>
      <c r="M119" s="14">
        <f>SUMIFS(Expenses!$J$5:$J$104,Expenses!$B$5:$B$104,$A119,Expenses!$M$5:$M$104,"Paid")</f>
        <v>0</v>
      </c>
    </row>
    <row r="120" spans="1:13">
      <c r="A120" s="17">
        <f t="shared" si="15"/>
        <v>46319</v>
      </c>
      <c r="B120" s="14">
        <f>SUMIFS(Orders!$K$5:$K$154,Orders!$B$5:$B$154,$A120,Orders!$Q$5:$Q$154,"Paid",Orders!$R$5:$R$154,"Completed")</f>
        <v>0</v>
      </c>
      <c r="C120" s="14">
        <f>SUMIFS(Orders!$L$5:$L$154,Orders!$B$5:$B$154,$A120,Orders!$Q$5:$Q$154,"Paid",Orders!$R$5:$R$154,"Completed")</f>
        <v>0</v>
      </c>
      <c r="D120" s="14">
        <f>SUMIFS(Orders!$M$5:$M$154,Orders!$B$5:$B$154,$A120,Orders!$Q$5:$Q$154,"Paid",Orders!$R$5:$R$154,"Completed")</f>
        <v>0</v>
      </c>
      <c r="E120" s="14">
        <f>SUMIFS(Orders!$O$5:$O$154,Orders!$B$5:$B$154,$A120,Orders!$Q$5:$Q$154,"Paid",Orders!$R$5:$R$154,"Completed")</f>
        <v>0</v>
      </c>
      <c r="F120" s="14">
        <f>SUMIFS(Expenses!$J$5:$J$104,Expenses!$B$5:$B$104,$A120,Expenses!$L$5:$L$104,"Operating Expense",Expenses!$M$5:$M$104,"Paid")</f>
        <v>0</v>
      </c>
      <c r="G120" s="9">
        <f t="shared" si="12"/>
        <v>0</v>
      </c>
      <c r="H120" s="9">
        <f t="shared" si="13"/>
        <v>0</v>
      </c>
      <c r="I120" s="18">
        <f>SUMIFS(Orders!$U$5:$U$154,Orders!$B$5:$B$154,$A120)</f>
        <v>0</v>
      </c>
      <c r="J120" s="18">
        <f>SUMIFS(Orders!$H$5:$H$154,Orders!$B$5:$B$154,$A120,Orders!$Q$5:$Q$154,"Paid",Orders!$R$5:$R$154,"Completed")</f>
        <v>0</v>
      </c>
      <c r="K120" s="14">
        <f>SUMIFS(Orders!$M$5:$M$154,Orders!$B$5:$B$154,$A120,Orders!$P$5:$P$154,"Cash",Orders!$Q$5:$Q$154,"Paid",Orders!$R$5:$R$154,"Completed")</f>
        <v>0</v>
      </c>
      <c r="L120" s="14">
        <f t="shared" si="14"/>
        <v>0</v>
      </c>
      <c r="M120" s="14">
        <f>SUMIFS(Expenses!$J$5:$J$104,Expenses!$B$5:$B$104,$A120,Expenses!$M$5:$M$104,"Paid")</f>
        <v>0</v>
      </c>
    </row>
    <row r="121" spans="1:13">
      <c r="A121" s="17">
        <f t="shared" si="15"/>
        <v>46320</v>
      </c>
      <c r="B121" s="14">
        <f>SUMIFS(Orders!$K$5:$K$154,Orders!$B$5:$B$154,$A121,Orders!$Q$5:$Q$154,"Paid",Orders!$R$5:$R$154,"Completed")</f>
        <v>0</v>
      </c>
      <c r="C121" s="14">
        <f>SUMIFS(Orders!$L$5:$L$154,Orders!$B$5:$B$154,$A121,Orders!$Q$5:$Q$154,"Paid",Orders!$R$5:$R$154,"Completed")</f>
        <v>0</v>
      </c>
      <c r="D121" s="14">
        <f>SUMIFS(Orders!$M$5:$M$154,Orders!$B$5:$B$154,$A121,Orders!$Q$5:$Q$154,"Paid",Orders!$R$5:$R$154,"Completed")</f>
        <v>0</v>
      </c>
      <c r="E121" s="14">
        <f>SUMIFS(Orders!$O$5:$O$154,Orders!$B$5:$B$154,$A121,Orders!$Q$5:$Q$154,"Paid",Orders!$R$5:$R$154,"Completed")</f>
        <v>0</v>
      </c>
      <c r="F121" s="14">
        <f>SUMIFS(Expenses!$J$5:$J$104,Expenses!$B$5:$B$104,$A121,Expenses!$L$5:$L$104,"Operating Expense",Expenses!$M$5:$M$104,"Paid")</f>
        <v>0</v>
      </c>
      <c r="G121" s="9">
        <f t="shared" si="12"/>
        <v>0</v>
      </c>
      <c r="H121" s="9">
        <f t="shared" si="13"/>
        <v>0</v>
      </c>
      <c r="I121" s="18">
        <f>SUMIFS(Orders!$U$5:$U$154,Orders!$B$5:$B$154,$A121)</f>
        <v>0</v>
      </c>
      <c r="J121" s="18">
        <f>SUMIFS(Orders!$H$5:$H$154,Orders!$B$5:$B$154,$A121,Orders!$Q$5:$Q$154,"Paid",Orders!$R$5:$R$154,"Completed")</f>
        <v>0</v>
      </c>
      <c r="K121" s="14">
        <f>SUMIFS(Orders!$M$5:$M$154,Orders!$B$5:$B$154,$A121,Orders!$P$5:$P$154,"Cash",Orders!$Q$5:$Q$154,"Paid",Orders!$R$5:$R$154,"Completed")</f>
        <v>0</v>
      </c>
      <c r="L121" s="14">
        <f t="shared" si="14"/>
        <v>0</v>
      </c>
      <c r="M121" s="14">
        <f>SUMIFS(Expenses!$J$5:$J$104,Expenses!$B$5:$B$104,$A121,Expenses!$M$5:$M$104,"Paid")</f>
        <v>0</v>
      </c>
    </row>
    <row r="122" spans="1:13">
      <c r="A122" s="17">
        <f t="shared" si="15"/>
        <v>46321</v>
      </c>
      <c r="B122" s="14">
        <f>SUMIFS(Orders!$K$5:$K$154,Orders!$B$5:$B$154,$A122,Orders!$Q$5:$Q$154,"Paid",Orders!$R$5:$R$154,"Completed")</f>
        <v>0</v>
      </c>
      <c r="C122" s="14">
        <f>SUMIFS(Orders!$L$5:$L$154,Orders!$B$5:$B$154,$A122,Orders!$Q$5:$Q$154,"Paid",Orders!$R$5:$R$154,"Completed")</f>
        <v>0</v>
      </c>
      <c r="D122" s="14">
        <f>SUMIFS(Orders!$M$5:$M$154,Orders!$B$5:$B$154,$A122,Orders!$Q$5:$Q$154,"Paid",Orders!$R$5:$R$154,"Completed")</f>
        <v>0</v>
      </c>
      <c r="E122" s="14">
        <f>SUMIFS(Orders!$O$5:$O$154,Orders!$B$5:$B$154,$A122,Orders!$Q$5:$Q$154,"Paid",Orders!$R$5:$R$154,"Completed")</f>
        <v>0</v>
      </c>
      <c r="F122" s="14">
        <f>SUMIFS(Expenses!$J$5:$J$104,Expenses!$B$5:$B$104,$A122,Expenses!$L$5:$L$104,"Operating Expense",Expenses!$M$5:$M$104,"Paid")</f>
        <v>0</v>
      </c>
      <c r="G122" s="9">
        <f t="shared" si="12"/>
        <v>0</v>
      </c>
      <c r="H122" s="9">
        <f t="shared" si="13"/>
        <v>0</v>
      </c>
      <c r="I122" s="18">
        <f>SUMIFS(Orders!$U$5:$U$154,Orders!$B$5:$B$154,$A122)</f>
        <v>0</v>
      </c>
      <c r="J122" s="18">
        <f>SUMIFS(Orders!$H$5:$H$154,Orders!$B$5:$B$154,$A122,Orders!$Q$5:$Q$154,"Paid",Orders!$R$5:$R$154,"Completed")</f>
        <v>0</v>
      </c>
      <c r="K122" s="14">
        <f>SUMIFS(Orders!$M$5:$M$154,Orders!$B$5:$B$154,$A122,Orders!$P$5:$P$154,"Cash",Orders!$Q$5:$Q$154,"Paid",Orders!$R$5:$R$154,"Completed")</f>
        <v>0</v>
      </c>
      <c r="L122" s="14">
        <f t="shared" si="14"/>
        <v>0</v>
      </c>
      <c r="M122" s="14">
        <f>SUMIFS(Expenses!$J$5:$J$104,Expenses!$B$5:$B$104,$A122,Expenses!$M$5:$M$104,"Paid")</f>
        <v>0</v>
      </c>
    </row>
    <row r="123" spans="1:13">
      <c r="A123" s="17">
        <f t="shared" si="15"/>
        <v>46322</v>
      </c>
      <c r="B123" s="14">
        <f>SUMIFS(Orders!$K$5:$K$154,Orders!$B$5:$B$154,$A123,Orders!$Q$5:$Q$154,"Paid",Orders!$R$5:$R$154,"Completed")</f>
        <v>0</v>
      </c>
      <c r="C123" s="14">
        <f>SUMIFS(Orders!$L$5:$L$154,Orders!$B$5:$B$154,$A123,Orders!$Q$5:$Q$154,"Paid",Orders!$R$5:$R$154,"Completed")</f>
        <v>0</v>
      </c>
      <c r="D123" s="14">
        <f>SUMIFS(Orders!$M$5:$M$154,Orders!$B$5:$B$154,$A123,Orders!$Q$5:$Q$154,"Paid",Orders!$R$5:$R$154,"Completed")</f>
        <v>0</v>
      </c>
      <c r="E123" s="14">
        <f>SUMIFS(Orders!$O$5:$O$154,Orders!$B$5:$B$154,$A123,Orders!$Q$5:$Q$154,"Paid",Orders!$R$5:$R$154,"Completed")</f>
        <v>0</v>
      </c>
      <c r="F123" s="14">
        <f>SUMIFS(Expenses!$J$5:$J$104,Expenses!$B$5:$B$104,$A123,Expenses!$L$5:$L$104,"Operating Expense",Expenses!$M$5:$M$104,"Paid")</f>
        <v>0</v>
      </c>
      <c r="G123" s="9">
        <f t="shared" si="12"/>
        <v>0</v>
      </c>
      <c r="H123" s="9">
        <f t="shared" si="13"/>
        <v>0</v>
      </c>
      <c r="I123" s="18">
        <f>SUMIFS(Orders!$U$5:$U$154,Orders!$B$5:$B$154,$A123)</f>
        <v>0</v>
      </c>
      <c r="J123" s="18">
        <f>SUMIFS(Orders!$H$5:$H$154,Orders!$B$5:$B$154,$A123,Orders!$Q$5:$Q$154,"Paid",Orders!$R$5:$R$154,"Completed")</f>
        <v>0</v>
      </c>
      <c r="K123" s="14">
        <f>SUMIFS(Orders!$M$5:$M$154,Orders!$B$5:$B$154,$A123,Orders!$P$5:$P$154,"Cash",Orders!$Q$5:$Q$154,"Paid",Orders!$R$5:$R$154,"Completed")</f>
        <v>0</v>
      </c>
      <c r="L123" s="14">
        <f t="shared" si="14"/>
        <v>0</v>
      </c>
      <c r="M123" s="14">
        <f>SUMIFS(Expenses!$J$5:$J$104,Expenses!$B$5:$B$104,$A123,Expenses!$M$5:$M$104,"Paid")</f>
        <v>0</v>
      </c>
    </row>
    <row r="124" spans="1:13">
      <c r="A124" s="17">
        <f t="shared" si="15"/>
        <v>46323</v>
      </c>
      <c r="B124" s="14">
        <f>SUMIFS(Orders!$K$5:$K$154,Orders!$B$5:$B$154,$A124,Orders!$Q$5:$Q$154,"Paid",Orders!$R$5:$R$154,"Completed")</f>
        <v>0</v>
      </c>
      <c r="C124" s="14">
        <f>SUMIFS(Orders!$L$5:$L$154,Orders!$B$5:$B$154,$A124,Orders!$Q$5:$Q$154,"Paid",Orders!$R$5:$R$154,"Completed")</f>
        <v>0</v>
      </c>
      <c r="D124" s="14">
        <f>SUMIFS(Orders!$M$5:$M$154,Orders!$B$5:$B$154,$A124,Orders!$Q$5:$Q$154,"Paid",Orders!$R$5:$R$154,"Completed")</f>
        <v>0</v>
      </c>
      <c r="E124" s="14">
        <f>SUMIFS(Orders!$O$5:$O$154,Orders!$B$5:$B$154,$A124,Orders!$Q$5:$Q$154,"Paid",Orders!$R$5:$R$154,"Completed")</f>
        <v>0</v>
      </c>
      <c r="F124" s="14">
        <f>SUMIFS(Expenses!$J$5:$J$104,Expenses!$B$5:$B$104,$A124,Expenses!$L$5:$L$104,"Operating Expense",Expenses!$M$5:$M$104,"Paid")</f>
        <v>0</v>
      </c>
      <c r="G124" s="9">
        <f t="shared" si="12"/>
        <v>0</v>
      </c>
      <c r="H124" s="9">
        <f t="shared" si="13"/>
        <v>0</v>
      </c>
      <c r="I124" s="18">
        <f>SUMIFS(Orders!$U$5:$U$154,Orders!$B$5:$B$154,$A124)</f>
        <v>0</v>
      </c>
      <c r="J124" s="18">
        <f>SUMIFS(Orders!$H$5:$H$154,Orders!$B$5:$B$154,$A124,Orders!$Q$5:$Q$154,"Paid",Orders!$R$5:$R$154,"Completed")</f>
        <v>0</v>
      </c>
      <c r="K124" s="14">
        <f>SUMIFS(Orders!$M$5:$M$154,Orders!$B$5:$B$154,$A124,Orders!$P$5:$P$154,"Cash",Orders!$Q$5:$Q$154,"Paid",Orders!$R$5:$R$154,"Completed")</f>
        <v>0</v>
      </c>
      <c r="L124" s="14">
        <f t="shared" si="14"/>
        <v>0</v>
      </c>
      <c r="M124" s="14">
        <f>SUMIFS(Expenses!$J$5:$J$104,Expenses!$B$5:$B$104,$A124,Expenses!$M$5:$M$104,"Paid")</f>
        <v>0</v>
      </c>
    </row>
    <row r="125" spans="1:13">
      <c r="A125" s="17">
        <f t="shared" si="15"/>
        <v>46324</v>
      </c>
      <c r="B125" s="14">
        <f>SUMIFS(Orders!$K$5:$K$154,Orders!$B$5:$B$154,$A125,Orders!$Q$5:$Q$154,"Paid",Orders!$R$5:$R$154,"Completed")</f>
        <v>0</v>
      </c>
      <c r="C125" s="14">
        <f>SUMIFS(Orders!$L$5:$L$154,Orders!$B$5:$B$154,$A125,Orders!$Q$5:$Q$154,"Paid",Orders!$R$5:$R$154,"Completed")</f>
        <v>0</v>
      </c>
      <c r="D125" s="14">
        <f>SUMIFS(Orders!$M$5:$M$154,Orders!$B$5:$B$154,$A125,Orders!$Q$5:$Q$154,"Paid",Orders!$R$5:$R$154,"Completed")</f>
        <v>0</v>
      </c>
      <c r="E125" s="14">
        <f>SUMIFS(Orders!$O$5:$O$154,Orders!$B$5:$B$154,$A125,Orders!$Q$5:$Q$154,"Paid",Orders!$R$5:$R$154,"Completed")</f>
        <v>0</v>
      </c>
      <c r="F125" s="14">
        <f>SUMIFS(Expenses!$J$5:$J$104,Expenses!$B$5:$B$104,$A125,Expenses!$L$5:$L$104,"Operating Expense",Expenses!$M$5:$M$104,"Paid")</f>
        <v>0</v>
      </c>
      <c r="G125" s="9">
        <f t="shared" si="12"/>
        <v>0</v>
      </c>
      <c r="H125" s="9">
        <f t="shared" si="13"/>
        <v>0</v>
      </c>
      <c r="I125" s="18">
        <f>SUMIFS(Orders!$U$5:$U$154,Orders!$B$5:$B$154,$A125)</f>
        <v>0</v>
      </c>
      <c r="J125" s="18">
        <f>SUMIFS(Orders!$H$5:$H$154,Orders!$B$5:$B$154,$A125,Orders!$Q$5:$Q$154,"Paid",Orders!$R$5:$R$154,"Completed")</f>
        <v>0</v>
      </c>
      <c r="K125" s="14">
        <f>SUMIFS(Orders!$M$5:$M$154,Orders!$B$5:$B$154,$A125,Orders!$P$5:$P$154,"Cash",Orders!$Q$5:$Q$154,"Paid",Orders!$R$5:$R$154,"Completed")</f>
        <v>0</v>
      </c>
      <c r="L125" s="14">
        <f t="shared" si="14"/>
        <v>0</v>
      </c>
      <c r="M125" s="14">
        <f>SUMIFS(Expenses!$J$5:$J$104,Expenses!$B$5:$B$104,$A125,Expenses!$M$5:$M$104,"Paid")</f>
        <v>0</v>
      </c>
    </row>
    <row r="126" spans="1:13">
      <c r="A126" s="17">
        <f t="shared" si="15"/>
        <v>46325</v>
      </c>
      <c r="B126" s="14">
        <f>SUMIFS(Orders!$K$5:$K$154,Orders!$B$5:$B$154,$A126,Orders!$Q$5:$Q$154,"Paid",Orders!$R$5:$R$154,"Completed")</f>
        <v>0</v>
      </c>
      <c r="C126" s="14">
        <f>SUMIFS(Orders!$L$5:$L$154,Orders!$B$5:$B$154,$A126,Orders!$Q$5:$Q$154,"Paid",Orders!$R$5:$R$154,"Completed")</f>
        <v>0</v>
      </c>
      <c r="D126" s="14">
        <f>SUMIFS(Orders!$M$5:$M$154,Orders!$B$5:$B$154,$A126,Orders!$Q$5:$Q$154,"Paid",Orders!$R$5:$R$154,"Completed")</f>
        <v>0</v>
      </c>
      <c r="E126" s="14">
        <f>SUMIFS(Orders!$O$5:$O$154,Orders!$B$5:$B$154,$A126,Orders!$Q$5:$Q$154,"Paid",Orders!$R$5:$R$154,"Completed")</f>
        <v>0</v>
      </c>
      <c r="F126" s="14">
        <f>SUMIFS(Expenses!$J$5:$J$104,Expenses!$B$5:$B$104,$A126,Expenses!$L$5:$L$104,"Operating Expense",Expenses!$M$5:$M$104,"Paid")</f>
        <v>0</v>
      </c>
      <c r="G126" s="9">
        <f t="shared" si="12"/>
        <v>0</v>
      </c>
      <c r="H126" s="9">
        <f t="shared" si="13"/>
        <v>0</v>
      </c>
      <c r="I126" s="18">
        <f>SUMIFS(Orders!$U$5:$U$154,Orders!$B$5:$B$154,$A126)</f>
        <v>0</v>
      </c>
      <c r="J126" s="18">
        <f>SUMIFS(Orders!$H$5:$H$154,Orders!$B$5:$B$154,$A126,Orders!$Q$5:$Q$154,"Paid",Orders!$R$5:$R$154,"Completed")</f>
        <v>0</v>
      </c>
      <c r="K126" s="14">
        <f>SUMIFS(Orders!$M$5:$M$154,Orders!$B$5:$B$154,$A126,Orders!$P$5:$P$154,"Cash",Orders!$Q$5:$Q$154,"Paid",Orders!$R$5:$R$154,"Completed")</f>
        <v>0</v>
      </c>
      <c r="L126" s="14">
        <f t="shared" si="14"/>
        <v>0</v>
      </c>
      <c r="M126" s="14">
        <f>SUMIFS(Expenses!$J$5:$J$104,Expenses!$B$5:$B$104,$A126,Expenses!$M$5:$M$104,"Paid")</f>
        <v>0</v>
      </c>
    </row>
    <row r="127" spans="1:13">
      <c r="A127" s="17">
        <f t="shared" si="15"/>
        <v>46326</v>
      </c>
      <c r="B127" s="14">
        <f>SUMIFS(Orders!$K$5:$K$154,Orders!$B$5:$B$154,$A127,Orders!$Q$5:$Q$154,"Paid",Orders!$R$5:$R$154,"Completed")</f>
        <v>0</v>
      </c>
      <c r="C127" s="14">
        <f>SUMIFS(Orders!$L$5:$L$154,Orders!$B$5:$B$154,$A127,Orders!$Q$5:$Q$154,"Paid",Orders!$R$5:$R$154,"Completed")</f>
        <v>0</v>
      </c>
      <c r="D127" s="14">
        <f>SUMIFS(Orders!$M$5:$M$154,Orders!$B$5:$B$154,$A127,Orders!$Q$5:$Q$154,"Paid",Orders!$R$5:$R$154,"Completed")</f>
        <v>0</v>
      </c>
      <c r="E127" s="14">
        <f>SUMIFS(Orders!$O$5:$O$154,Orders!$B$5:$B$154,$A127,Orders!$Q$5:$Q$154,"Paid",Orders!$R$5:$R$154,"Completed")</f>
        <v>0</v>
      </c>
      <c r="F127" s="14">
        <f>SUMIFS(Expenses!$J$5:$J$104,Expenses!$B$5:$B$104,$A127,Expenses!$L$5:$L$104,"Operating Expense",Expenses!$M$5:$M$104,"Paid")</f>
        <v>0</v>
      </c>
      <c r="G127" s="9">
        <f t="shared" si="12"/>
        <v>0</v>
      </c>
      <c r="H127" s="9">
        <f t="shared" si="13"/>
        <v>0</v>
      </c>
      <c r="I127" s="18">
        <f>SUMIFS(Orders!$U$5:$U$154,Orders!$B$5:$B$154,$A127)</f>
        <v>0</v>
      </c>
      <c r="J127" s="18">
        <f>SUMIFS(Orders!$H$5:$H$154,Orders!$B$5:$B$154,$A127,Orders!$Q$5:$Q$154,"Paid",Orders!$R$5:$R$154,"Completed")</f>
        <v>0</v>
      </c>
      <c r="K127" s="14">
        <f>SUMIFS(Orders!$M$5:$M$154,Orders!$B$5:$B$154,$A127,Orders!$P$5:$P$154,"Cash",Orders!$Q$5:$Q$154,"Paid",Orders!$R$5:$R$154,"Completed")</f>
        <v>0</v>
      </c>
      <c r="L127" s="14">
        <f t="shared" si="14"/>
        <v>0</v>
      </c>
      <c r="M127" s="14">
        <f>SUMIFS(Expenses!$J$5:$J$104,Expenses!$B$5:$B$104,$A127,Expenses!$M$5:$M$104,"Paid")</f>
        <v>0</v>
      </c>
    </row>
    <row r="128" spans="1:13">
      <c r="A128" s="17">
        <f t="shared" si="15"/>
        <v>46327</v>
      </c>
      <c r="B128" s="14">
        <f>SUMIFS(Orders!$K$5:$K$154,Orders!$B$5:$B$154,$A128,Orders!$Q$5:$Q$154,"Paid",Orders!$R$5:$R$154,"Completed")</f>
        <v>0</v>
      </c>
      <c r="C128" s="14">
        <f>SUMIFS(Orders!$L$5:$L$154,Orders!$B$5:$B$154,$A128,Orders!$Q$5:$Q$154,"Paid",Orders!$R$5:$R$154,"Completed")</f>
        <v>0</v>
      </c>
      <c r="D128" s="14">
        <f>SUMIFS(Orders!$M$5:$M$154,Orders!$B$5:$B$154,$A128,Orders!$Q$5:$Q$154,"Paid",Orders!$R$5:$R$154,"Completed")</f>
        <v>0</v>
      </c>
      <c r="E128" s="14">
        <f>SUMIFS(Orders!$O$5:$O$154,Orders!$B$5:$B$154,$A128,Orders!$Q$5:$Q$154,"Paid",Orders!$R$5:$R$154,"Completed")</f>
        <v>0</v>
      </c>
      <c r="F128" s="14">
        <f>SUMIFS(Expenses!$J$5:$J$104,Expenses!$B$5:$B$104,$A128,Expenses!$L$5:$L$104,"Operating Expense",Expenses!$M$5:$M$104,"Paid")</f>
        <v>0</v>
      </c>
      <c r="G128" s="9">
        <f t="shared" si="12"/>
        <v>0</v>
      </c>
      <c r="H128" s="9">
        <f t="shared" si="13"/>
        <v>0</v>
      </c>
      <c r="I128" s="18">
        <f>SUMIFS(Orders!$U$5:$U$154,Orders!$B$5:$B$154,$A128)</f>
        <v>0</v>
      </c>
      <c r="J128" s="18">
        <f>SUMIFS(Orders!$H$5:$H$154,Orders!$B$5:$B$154,$A128,Orders!$Q$5:$Q$154,"Paid",Orders!$R$5:$R$154,"Completed")</f>
        <v>0</v>
      </c>
      <c r="K128" s="14">
        <f>SUMIFS(Orders!$M$5:$M$154,Orders!$B$5:$B$154,$A128,Orders!$P$5:$P$154,"Cash",Orders!$Q$5:$Q$154,"Paid",Orders!$R$5:$R$154,"Completed")</f>
        <v>0</v>
      </c>
      <c r="L128" s="14">
        <f t="shared" si="14"/>
        <v>0</v>
      </c>
      <c r="M128" s="14">
        <f>SUMIFS(Expenses!$J$5:$J$104,Expenses!$B$5:$B$104,$A128,Expenses!$M$5:$M$104,"Paid")</f>
        <v>0</v>
      </c>
    </row>
    <row r="129" spans="1:13">
      <c r="A129" s="17">
        <f t="shared" si="15"/>
        <v>46328</v>
      </c>
      <c r="B129" s="14">
        <f>SUMIFS(Orders!$K$5:$K$154,Orders!$B$5:$B$154,$A129,Orders!$Q$5:$Q$154,"Paid",Orders!$R$5:$R$154,"Completed")</f>
        <v>0</v>
      </c>
      <c r="C129" s="14">
        <f>SUMIFS(Orders!$L$5:$L$154,Orders!$B$5:$B$154,$A129,Orders!$Q$5:$Q$154,"Paid",Orders!$R$5:$R$154,"Completed")</f>
        <v>0</v>
      </c>
      <c r="D129" s="14">
        <f>SUMIFS(Orders!$M$5:$M$154,Orders!$B$5:$B$154,$A129,Orders!$Q$5:$Q$154,"Paid",Orders!$R$5:$R$154,"Completed")</f>
        <v>0</v>
      </c>
      <c r="E129" s="14">
        <f>SUMIFS(Orders!$O$5:$O$154,Orders!$B$5:$B$154,$A129,Orders!$Q$5:$Q$154,"Paid",Orders!$R$5:$R$154,"Completed")</f>
        <v>0</v>
      </c>
      <c r="F129" s="14">
        <f>SUMIFS(Expenses!$J$5:$J$104,Expenses!$B$5:$B$104,$A129,Expenses!$L$5:$L$104,"Operating Expense",Expenses!$M$5:$M$104,"Paid")</f>
        <v>0</v>
      </c>
      <c r="G129" s="9">
        <f t="shared" si="12"/>
        <v>0</v>
      </c>
      <c r="H129" s="9">
        <f t="shared" si="13"/>
        <v>0</v>
      </c>
      <c r="I129" s="18">
        <f>SUMIFS(Orders!$U$5:$U$154,Orders!$B$5:$B$154,$A129)</f>
        <v>0</v>
      </c>
      <c r="J129" s="18">
        <f>SUMIFS(Orders!$H$5:$H$154,Orders!$B$5:$B$154,$A129,Orders!$Q$5:$Q$154,"Paid",Orders!$R$5:$R$154,"Completed")</f>
        <v>0</v>
      </c>
      <c r="K129" s="14">
        <f>SUMIFS(Orders!$M$5:$M$154,Orders!$B$5:$B$154,$A129,Orders!$P$5:$P$154,"Cash",Orders!$Q$5:$Q$154,"Paid",Orders!$R$5:$R$154,"Completed")</f>
        <v>0</v>
      </c>
      <c r="L129" s="14">
        <f t="shared" si="14"/>
        <v>0</v>
      </c>
      <c r="M129" s="14">
        <f>SUMIFS(Expenses!$J$5:$J$104,Expenses!$B$5:$B$104,$A129,Expenses!$M$5:$M$104,"Paid")</f>
        <v>0</v>
      </c>
    </row>
    <row r="130" spans="1:13">
      <c r="A130" s="17">
        <f t="shared" si="15"/>
        <v>46329</v>
      </c>
      <c r="B130" s="14">
        <f>SUMIFS(Orders!$K$5:$K$154,Orders!$B$5:$B$154,$A130,Orders!$Q$5:$Q$154,"Paid",Orders!$R$5:$R$154,"Completed")</f>
        <v>0</v>
      </c>
      <c r="C130" s="14">
        <f>SUMIFS(Orders!$L$5:$L$154,Orders!$B$5:$B$154,$A130,Orders!$Q$5:$Q$154,"Paid",Orders!$R$5:$R$154,"Completed")</f>
        <v>0</v>
      </c>
      <c r="D130" s="14">
        <f>SUMIFS(Orders!$M$5:$M$154,Orders!$B$5:$B$154,$A130,Orders!$Q$5:$Q$154,"Paid",Orders!$R$5:$R$154,"Completed")</f>
        <v>0</v>
      </c>
      <c r="E130" s="14">
        <f>SUMIFS(Orders!$O$5:$O$154,Orders!$B$5:$B$154,$A130,Orders!$Q$5:$Q$154,"Paid",Orders!$R$5:$R$154,"Completed")</f>
        <v>0</v>
      </c>
      <c r="F130" s="14">
        <f>SUMIFS(Expenses!$J$5:$J$104,Expenses!$B$5:$B$104,$A130,Expenses!$L$5:$L$104,"Operating Expense",Expenses!$M$5:$M$104,"Paid")</f>
        <v>0</v>
      </c>
      <c r="G130" s="9">
        <f t="shared" si="12"/>
        <v>0</v>
      </c>
      <c r="H130" s="9">
        <f t="shared" si="13"/>
        <v>0</v>
      </c>
      <c r="I130" s="18">
        <f>SUMIFS(Orders!$U$5:$U$154,Orders!$B$5:$B$154,$A130)</f>
        <v>0</v>
      </c>
      <c r="J130" s="18">
        <f>SUMIFS(Orders!$H$5:$H$154,Orders!$B$5:$B$154,$A130,Orders!$Q$5:$Q$154,"Paid",Orders!$R$5:$R$154,"Completed")</f>
        <v>0</v>
      </c>
      <c r="K130" s="14">
        <f>SUMIFS(Orders!$M$5:$M$154,Orders!$B$5:$B$154,$A130,Orders!$P$5:$P$154,"Cash",Orders!$Q$5:$Q$154,"Paid",Orders!$R$5:$R$154,"Completed")</f>
        <v>0</v>
      </c>
      <c r="L130" s="14">
        <f t="shared" si="14"/>
        <v>0</v>
      </c>
      <c r="M130" s="14">
        <f>SUMIFS(Expenses!$J$5:$J$104,Expenses!$B$5:$B$104,$A130,Expenses!$M$5:$M$104,"Paid")</f>
        <v>0</v>
      </c>
    </row>
    <row r="131" spans="1:13">
      <c r="A131" s="17">
        <f t="shared" si="15"/>
        <v>46330</v>
      </c>
      <c r="B131" s="14">
        <f>SUMIFS(Orders!$K$5:$K$154,Orders!$B$5:$B$154,$A131,Orders!$Q$5:$Q$154,"Paid",Orders!$R$5:$R$154,"Completed")</f>
        <v>0</v>
      </c>
      <c r="C131" s="14">
        <f>SUMIFS(Orders!$L$5:$L$154,Orders!$B$5:$B$154,$A131,Orders!$Q$5:$Q$154,"Paid",Orders!$R$5:$R$154,"Completed")</f>
        <v>0</v>
      </c>
      <c r="D131" s="14">
        <f>SUMIFS(Orders!$M$5:$M$154,Orders!$B$5:$B$154,$A131,Orders!$Q$5:$Q$154,"Paid",Orders!$R$5:$R$154,"Completed")</f>
        <v>0</v>
      </c>
      <c r="E131" s="14">
        <f>SUMIFS(Orders!$O$5:$O$154,Orders!$B$5:$B$154,$A131,Orders!$Q$5:$Q$154,"Paid",Orders!$R$5:$R$154,"Completed")</f>
        <v>0</v>
      </c>
      <c r="F131" s="14">
        <f>SUMIFS(Expenses!$J$5:$J$104,Expenses!$B$5:$B$104,$A131,Expenses!$L$5:$L$104,"Operating Expense",Expenses!$M$5:$M$104,"Paid")</f>
        <v>0</v>
      </c>
      <c r="G131" s="9">
        <f t="shared" si="12"/>
        <v>0</v>
      </c>
      <c r="H131" s="9">
        <f t="shared" si="13"/>
        <v>0</v>
      </c>
      <c r="I131" s="18">
        <f>SUMIFS(Orders!$U$5:$U$154,Orders!$B$5:$B$154,$A131)</f>
        <v>0</v>
      </c>
      <c r="J131" s="18">
        <f>SUMIFS(Orders!$H$5:$H$154,Orders!$B$5:$B$154,$A131,Orders!$Q$5:$Q$154,"Paid",Orders!$R$5:$R$154,"Completed")</f>
        <v>0</v>
      </c>
      <c r="K131" s="14">
        <f>SUMIFS(Orders!$M$5:$M$154,Orders!$B$5:$B$154,$A131,Orders!$P$5:$P$154,"Cash",Orders!$Q$5:$Q$154,"Paid",Orders!$R$5:$R$154,"Completed")</f>
        <v>0</v>
      </c>
      <c r="L131" s="14">
        <f t="shared" si="14"/>
        <v>0</v>
      </c>
      <c r="M131" s="14">
        <f>SUMIFS(Expenses!$J$5:$J$104,Expenses!$B$5:$B$104,$A131,Expenses!$M$5:$M$104,"Paid")</f>
        <v>0</v>
      </c>
    </row>
    <row r="132" spans="1:13">
      <c r="A132" s="17">
        <f t="shared" si="15"/>
        <v>46331</v>
      </c>
      <c r="B132" s="14">
        <f>SUMIFS(Orders!$K$5:$K$154,Orders!$B$5:$B$154,$A132,Orders!$Q$5:$Q$154,"Paid",Orders!$R$5:$R$154,"Completed")</f>
        <v>0</v>
      </c>
      <c r="C132" s="14">
        <f>SUMIFS(Orders!$L$5:$L$154,Orders!$B$5:$B$154,$A132,Orders!$Q$5:$Q$154,"Paid",Orders!$R$5:$R$154,"Completed")</f>
        <v>0</v>
      </c>
      <c r="D132" s="14">
        <f>SUMIFS(Orders!$M$5:$M$154,Orders!$B$5:$B$154,$A132,Orders!$Q$5:$Q$154,"Paid",Orders!$R$5:$R$154,"Completed")</f>
        <v>0</v>
      </c>
      <c r="E132" s="14">
        <f>SUMIFS(Orders!$O$5:$O$154,Orders!$B$5:$B$154,$A132,Orders!$Q$5:$Q$154,"Paid",Orders!$R$5:$R$154,"Completed")</f>
        <v>0</v>
      </c>
      <c r="F132" s="14">
        <f>SUMIFS(Expenses!$J$5:$J$104,Expenses!$B$5:$B$104,$A132,Expenses!$L$5:$L$104,"Operating Expense",Expenses!$M$5:$M$104,"Paid")</f>
        <v>0</v>
      </c>
      <c r="G132" s="9">
        <f t="shared" si="12"/>
        <v>0</v>
      </c>
      <c r="H132" s="9">
        <f t="shared" si="13"/>
        <v>0</v>
      </c>
      <c r="I132" s="18">
        <f>SUMIFS(Orders!$U$5:$U$154,Orders!$B$5:$B$154,$A132)</f>
        <v>0</v>
      </c>
      <c r="J132" s="18">
        <f>SUMIFS(Orders!$H$5:$H$154,Orders!$B$5:$B$154,$A132,Orders!$Q$5:$Q$154,"Paid",Orders!$R$5:$R$154,"Completed")</f>
        <v>0</v>
      </c>
      <c r="K132" s="14">
        <f>SUMIFS(Orders!$M$5:$M$154,Orders!$B$5:$B$154,$A132,Orders!$P$5:$P$154,"Cash",Orders!$Q$5:$Q$154,"Paid",Orders!$R$5:$R$154,"Completed")</f>
        <v>0</v>
      </c>
      <c r="L132" s="14">
        <f t="shared" si="14"/>
        <v>0</v>
      </c>
      <c r="M132" s="14">
        <f>SUMIFS(Expenses!$J$5:$J$104,Expenses!$B$5:$B$104,$A132,Expenses!$M$5:$M$104,"Paid")</f>
        <v>0</v>
      </c>
    </row>
    <row r="133" spans="1:13">
      <c r="A133" s="17">
        <f t="shared" si="15"/>
        <v>46332</v>
      </c>
      <c r="B133" s="14">
        <f>SUMIFS(Orders!$K$5:$K$154,Orders!$B$5:$B$154,$A133,Orders!$Q$5:$Q$154,"Paid",Orders!$R$5:$R$154,"Completed")</f>
        <v>0</v>
      </c>
      <c r="C133" s="14">
        <f>SUMIFS(Orders!$L$5:$L$154,Orders!$B$5:$B$154,$A133,Orders!$Q$5:$Q$154,"Paid",Orders!$R$5:$R$154,"Completed")</f>
        <v>0</v>
      </c>
      <c r="D133" s="14">
        <f>SUMIFS(Orders!$M$5:$M$154,Orders!$B$5:$B$154,$A133,Orders!$Q$5:$Q$154,"Paid",Orders!$R$5:$R$154,"Completed")</f>
        <v>0</v>
      </c>
      <c r="E133" s="14">
        <f>SUMIFS(Orders!$O$5:$O$154,Orders!$B$5:$B$154,$A133,Orders!$Q$5:$Q$154,"Paid",Orders!$R$5:$R$154,"Completed")</f>
        <v>0</v>
      </c>
      <c r="F133" s="14">
        <f>SUMIFS(Expenses!$J$5:$J$104,Expenses!$B$5:$B$104,$A133,Expenses!$L$5:$L$104,"Operating Expense",Expenses!$M$5:$M$104,"Paid")</f>
        <v>0</v>
      </c>
      <c r="G133" s="9">
        <f t="shared" ref="G133:G164" si="16">D133-E133</f>
        <v>0</v>
      </c>
      <c r="H133" s="9">
        <f t="shared" ref="H133:H164" si="17">G133-F133</f>
        <v>0</v>
      </c>
      <c r="I133" s="18">
        <f>SUMIFS(Orders!$U$5:$U$154,Orders!$B$5:$B$154,$A133)</f>
        <v>0</v>
      </c>
      <c r="J133" s="18">
        <f>SUMIFS(Orders!$H$5:$H$154,Orders!$B$5:$B$154,$A133,Orders!$Q$5:$Q$154,"Paid",Orders!$R$5:$R$154,"Completed")</f>
        <v>0</v>
      </c>
      <c r="K133" s="14">
        <f>SUMIFS(Orders!$M$5:$M$154,Orders!$B$5:$B$154,$A133,Orders!$P$5:$P$154,"Cash",Orders!$Q$5:$Q$154,"Paid",Orders!$R$5:$R$154,"Completed")</f>
        <v>0</v>
      </c>
      <c r="L133" s="14">
        <f t="shared" ref="L133:L164" si="18">D133-K133</f>
        <v>0</v>
      </c>
      <c r="M133" s="14">
        <f>SUMIFS(Expenses!$J$5:$J$104,Expenses!$B$5:$B$104,$A133,Expenses!$M$5:$M$104,"Paid")</f>
        <v>0</v>
      </c>
    </row>
    <row r="134" spans="1:13">
      <c r="A134" s="17">
        <f t="shared" ref="A134:A165" si="19">A133+1</f>
        <v>46333</v>
      </c>
      <c r="B134" s="14">
        <f>SUMIFS(Orders!$K$5:$K$154,Orders!$B$5:$B$154,$A134,Orders!$Q$5:$Q$154,"Paid",Orders!$R$5:$R$154,"Completed")</f>
        <v>0</v>
      </c>
      <c r="C134" s="14">
        <f>SUMIFS(Orders!$L$5:$L$154,Orders!$B$5:$B$154,$A134,Orders!$Q$5:$Q$154,"Paid",Orders!$R$5:$R$154,"Completed")</f>
        <v>0</v>
      </c>
      <c r="D134" s="14">
        <f>SUMIFS(Orders!$M$5:$M$154,Orders!$B$5:$B$154,$A134,Orders!$Q$5:$Q$154,"Paid",Orders!$R$5:$R$154,"Completed")</f>
        <v>0</v>
      </c>
      <c r="E134" s="14">
        <f>SUMIFS(Orders!$O$5:$O$154,Orders!$B$5:$B$154,$A134,Orders!$Q$5:$Q$154,"Paid",Orders!$R$5:$R$154,"Completed")</f>
        <v>0</v>
      </c>
      <c r="F134" s="14">
        <f>SUMIFS(Expenses!$J$5:$J$104,Expenses!$B$5:$B$104,$A134,Expenses!$L$5:$L$104,"Operating Expense",Expenses!$M$5:$M$104,"Paid")</f>
        <v>0</v>
      </c>
      <c r="G134" s="9">
        <f t="shared" si="16"/>
        <v>0</v>
      </c>
      <c r="H134" s="9">
        <f t="shared" si="17"/>
        <v>0</v>
      </c>
      <c r="I134" s="18">
        <f>SUMIFS(Orders!$U$5:$U$154,Orders!$B$5:$B$154,$A134)</f>
        <v>0</v>
      </c>
      <c r="J134" s="18">
        <f>SUMIFS(Orders!$H$5:$H$154,Orders!$B$5:$B$154,$A134,Orders!$Q$5:$Q$154,"Paid",Orders!$R$5:$R$154,"Completed")</f>
        <v>0</v>
      </c>
      <c r="K134" s="14">
        <f>SUMIFS(Orders!$M$5:$M$154,Orders!$B$5:$B$154,$A134,Orders!$P$5:$P$154,"Cash",Orders!$Q$5:$Q$154,"Paid",Orders!$R$5:$R$154,"Completed")</f>
        <v>0</v>
      </c>
      <c r="L134" s="14">
        <f t="shared" si="18"/>
        <v>0</v>
      </c>
      <c r="M134" s="14">
        <f>SUMIFS(Expenses!$J$5:$J$104,Expenses!$B$5:$B$104,$A134,Expenses!$M$5:$M$104,"Paid")</f>
        <v>0</v>
      </c>
    </row>
    <row r="135" spans="1:13">
      <c r="A135" s="17">
        <f t="shared" si="19"/>
        <v>46334</v>
      </c>
      <c r="B135" s="14">
        <f>SUMIFS(Orders!$K$5:$K$154,Orders!$B$5:$B$154,$A135,Orders!$Q$5:$Q$154,"Paid",Orders!$R$5:$R$154,"Completed")</f>
        <v>0</v>
      </c>
      <c r="C135" s="14">
        <f>SUMIFS(Orders!$L$5:$L$154,Orders!$B$5:$B$154,$A135,Orders!$Q$5:$Q$154,"Paid",Orders!$R$5:$R$154,"Completed")</f>
        <v>0</v>
      </c>
      <c r="D135" s="14">
        <f>SUMIFS(Orders!$M$5:$M$154,Orders!$B$5:$B$154,$A135,Orders!$Q$5:$Q$154,"Paid",Orders!$R$5:$R$154,"Completed")</f>
        <v>0</v>
      </c>
      <c r="E135" s="14">
        <f>SUMIFS(Orders!$O$5:$O$154,Orders!$B$5:$B$154,$A135,Orders!$Q$5:$Q$154,"Paid",Orders!$R$5:$R$154,"Completed")</f>
        <v>0</v>
      </c>
      <c r="F135" s="14">
        <f>SUMIFS(Expenses!$J$5:$J$104,Expenses!$B$5:$B$104,$A135,Expenses!$L$5:$L$104,"Operating Expense",Expenses!$M$5:$M$104,"Paid")</f>
        <v>0</v>
      </c>
      <c r="G135" s="9">
        <f t="shared" si="16"/>
        <v>0</v>
      </c>
      <c r="H135" s="9">
        <f t="shared" si="17"/>
        <v>0</v>
      </c>
      <c r="I135" s="18">
        <f>SUMIFS(Orders!$U$5:$U$154,Orders!$B$5:$B$154,$A135)</f>
        <v>0</v>
      </c>
      <c r="J135" s="18">
        <f>SUMIFS(Orders!$H$5:$H$154,Orders!$B$5:$B$154,$A135,Orders!$Q$5:$Q$154,"Paid",Orders!$R$5:$R$154,"Completed")</f>
        <v>0</v>
      </c>
      <c r="K135" s="14">
        <f>SUMIFS(Orders!$M$5:$M$154,Orders!$B$5:$B$154,$A135,Orders!$P$5:$P$154,"Cash",Orders!$Q$5:$Q$154,"Paid",Orders!$R$5:$R$154,"Completed")</f>
        <v>0</v>
      </c>
      <c r="L135" s="14">
        <f t="shared" si="18"/>
        <v>0</v>
      </c>
      <c r="M135" s="14">
        <f>SUMIFS(Expenses!$J$5:$J$104,Expenses!$B$5:$B$104,$A135,Expenses!$M$5:$M$104,"Paid")</f>
        <v>0</v>
      </c>
    </row>
    <row r="136" spans="1:13">
      <c r="A136" s="17">
        <f t="shared" si="19"/>
        <v>46335</v>
      </c>
      <c r="B136" s="14">
        <f>SUMIFS(Orders!$K$5:$K$154,Orders!$B$5:$B$154,$A136,Orders!$Q$5:$Q$154,"Paid",Orders!$R$5:$R$154,"Completed")</f>
        <v>0</v>
      </c>
      <c r="C136" s="14">
        <f>SUMIFS(Orders!$L$5:$L$154,Orders!$B$5:$B$154,$A136,Orders!$Q$5:$Q$154,"Paid",Orders!$R$5:$R$154,"Completed")</f>
        <v>0</v>
      </c>
      <c r="D136" s="14">
        <f>SUMIFS(Orders!$M$5:$M$154,Orders!$B$5:$B$154,$A136,Orders!$Q$5:$Q$154,"Paid",Orders!$R$5:$R$154,"Completed")</f>
        <v>0</v>
      </c>
      <c r="E136" s="14">
        <f>SUMIFS(Orders!$O$5:$O$154,Orders!$B$5:$B$154,$A136,Orders!$Q$5:$Q$154,"Paid",Orders!$R$5:$R$154,"Completed")</f>
        <v>0</v>
      </c>
      <c r="F136" s="14">
        <f>SUMIFS(Expenses!$J$5:$J$104,Expenses!$B$5:$B$104,$A136,Expenses!$L$5:$L$104,"Operating Expense",Expenses!$M$5:$M$104,"Paid")</f>
        <v>0</v>
      </c>
      <c r="G136" s="9">
        <f t="shared" si="16"/>
        <v>0</v>
      </c>
      <c r="H136" s="9">
        <f t="shared" si="17"/>
        <v>0</v>
      </c>
      <c r="I136" s="18">
        <f>SUMIFS(Orders!$U$5:$U$154,Orders!$B$5:$B$154,$A136)</f>
        <v>0</v>
      </c>
      <c r="J136" s="18">
        <f>SUMIFS(Orders!$H$5:$H$154,Orders!$B$5:$B$154,$A136,Orders!$Q$5:$Q$154,"Paid",Orders!$R$5:$R$154,"Completed")</f>
        <v>0</v>
      </c>
      <c r="K136" s="14">
        <f>SUMIFS(Orders!$M$5:$M$154,Orders!$B$5:$B$154,$A136,Orders!$P$5:$P$154,"Cash",Orders!$Q$5:$Q$154,"Paid",Orders!$R$5:$R$154,"Completed")</f>
        <v>0</v>
      </c>
      <c r="L136" s="14">
        <f t="shared" si="18"/>
        <v>0</v>
      </c>
      <c r="M136" s="14">
        <f>SUMIFS(Expenses!$J$5:$J$104,Expenses!$B$5:$B$104,$A136,Expenses!$M$5:$M$104,"Paid")</f>
        <v>0</v>
      </c>
    </row>
    <row r="137" spans="1:13">
      <c r="A137" s="17">
        <f t="shared" si="19"/>
        <v>46336</v>
      </c>
      <c r="B137" s="14">
        <f>SUMIFS(Orders!$K$5:$K$154,Orders!$B$5:$B$154,$A137,Orders!$Q$5:$Q$154,"Paid",Orders!$R$5:$R$154,"Completed")</f>
        <v>0</v>
      </c>
      <c r="C137" s="14">
        <f>SUMIFS(Orders!$L$5:$L$154,Orders!$B$5:$B$154,$A137,Orders!$Q$5:$Q$154,"Paid",Orders!$R$5:$R$154,"Completed")</f>
        <v>0</v>
      </c>
      <c r="D137" s="14">
        <f>SUMIFS(Orders!$M$5:$M$154,Orders!$B$5:$B$154,$A137,Orders!$Q$5:$Q$154,"Paid",Orders!$R$5:$R$154,"Completed")</f>
        <v>0</v>
      </c>
      <c r="E137" s="14">
        <f>SUMIFS(Orders!$O$5:$O$154,Orders!$B$5:$B$154,$A137,Orders!$Q$5:$Q$154,"Paid",Orders!$R$5:$R$154,"Completed")</f>
        <v>0</v>
      </c>
      <c r="F137" s="14">
        <f>SUMIFS(Expenses!$J$5:$J$104,Expenses!$B$5:$B$104,$A137,Expenses!$L$5:$L$104,"Operating Expense",Expenses!$M$5:$M$104,"Paid")</f>
        <v>0</v>
      </c>
      <c r="G137" s="9">
        <f t="shared" si="16"/>
        <v>0</v>
      </c>
      <c r="H137" s="9">
        <f t="shared" si="17"/>
        <v>0</v>
      </c>
      <c r="I137" s="18">
        <f>SUMIFS(Orders!$U$5:$U$154,Orders!$B$5:$B$154,$A137)</f>
        <v>0</v>
      </c>
      <c r="J137" s="18">
        <f>SUMIFS(Orders!$H$5:$H$154,Orders!$B$5:$B$154,$A137,Orders!$Q$5:$Q$154,"Paid",Orders!$R$5:$R$154,"Completed")</f>
        <v>0</v>
      </c>
      <c r="K137" s="14">
        <f>SUMIFS(Orders!$M$5:$M$154,Orders!$B$5:$B$154,$A137,Orders!$P$5:$P$154,"Cash",Orders!$Q$5:$Q$154,"Paid",Orders!$R$5:$R$154,"Completed")</f>
        <v>0</v>
      </c>
      <c r="L137" s="14">
        <f t="shared" si="18"/>
        <v>0</v>
      </c>
      <c r="M137" s="14">
        <f>SUMIFS(Expenses!$J$5:$J$104,Expenses!$B$5:$B$104,$A137,Expenses!$M$5:$M$104,"Paid")</f>
        <v>0</v>
      </c>
    </row>
    <row r="138" spans="1:13">
      <c r="A138" s="17">
        <f t="shared" si="19"/>
        <v>46337</v>
      </c>
      <c r="B138" s="14">
        <f>SUMIFS(Orders!$K$5:$K$154,Orders!$B$5:$B$154,$A138,Orders!$Q$5:$Q$154,"Paid",Orders!$R$5:$R$154,"Completed")</f>
        <v>0</v>
      </c>
      <c r="C138" s="14">
        <f>SUMIFS(Orders!$L$5:$L$154,Orders!$B$5:$B$154,$A138,Orders!$Q$5:$Q$154,"Paid",Orders!$R$5:$R$154,"Completed")</f>
        <v>0</v>
      </c>
      <c r="D138" s="14">
        <f>SUMIFS(Orders!$M$5:$M$154,Orders!$B$5:$B$154,$A138,Orders!$Q$5:$Q$154,"Paid",Orders!$R$5:$R$154,"Completed")</f>
        <v>0</v>
      </c>
      <c r="E138" s="14">
        <f>SUMIFS(Orders!$O$5:$O$154,Orders!$B$5:$B$154,$A138,Orders!$Q$5:$Q$154,"Paid",Orders!$R$5:$R$154,"Completed")</f>
        <v>0</v>
      </c>
      <c r="F138" s="14">
        <f>SUMIFS(Expenses!$J$5:$J$104,Expenses!$B$5:$B$104,$A138,Expenses!$L$5:$L$104,"Operating Expense",Expenses!$M$5:$M$104,"Paid")</f>
        <v>0</v>
      </c>
      <c r="G138" s="9">
        <f t="shared" si="16"/>
        <v>0</v>
      </c>
      <c r="H138" s="9">
        <f t="shared" si="17"/>
        <v>0</v>
      </c>
      <c r="I138" s="18">
        <f>SUMIFS(Orders!$U$5:$U$154,Orders!$B$5:$B$154,$A138)</f>
        <v>0</v>
      </c>
      <c r="J138" s="18">
        <f>SUMIFS(Orders!$H$5:$H$154,Orders!$B$5:$B$154,$A138,Orders!$Q$5:$Q$154,"Paid",Orders!$R$5:$R$154,"Completed")</f>
        <v>0</v>
      </c>
      <c r="K138" s="14">
        <f>SUMIFS(Orders!$M$5:$M$154,Orders!$B$5:$B$154,$A138,Orders!$P$5:$P$154,"Cash",Orders!$Q$5:$Q$154,"Paid",Orders!$R$5:$R$154,"Completed")</f>
        <v>0</v>
      </c>
      <c r="L138" s="14">
        <f t="shared" si="18"/>
        <v>0</v>
      </c>
      <c r="M138" s="14">
        <f>SUMIFS(Expenses!$J$5:$J$104,Expenses!$B$5:$B$104,$A138,Expenses!$M$5:$M$104,"Paid")</f>
        <v>0</v>
      </c>
    </row>
    <row r="139" spans="1:13">
      <c r="A139" s="17">
        <f t="shared" si="19"/>
        <v>46338</v>
      </c>
      <c r="B139" s="14">
        <f>SUMIFS(Orders!$K$5:$K$154,Orders!$B$5:$B$154,$A139,Orders!$Q$5:$Q$154,"Paid",Orders!$R$5:$R$154,"Completed")</f>
        <v>0</v>
      </c>
      <c r="C139" s="14">
        <f>SUMIFS(Orders!$L$5:$L$154,Orders!$B$5:$B$154,$A139,Orders!$Q$5:$Q$154,"Paid",Orders!$R$5:$R$154,"Completed")</f>
        <v>0</v>
      </c>
      <c r="D139" s="14">
        <f>SUMIFS(Orders!$M$5:$M$154,Orders!$B$5:$B$154,$A139,Orders!$Q$5:$Q$154,"Paid",Orders!$R$5:$R$154,"Completed")</f>
        <v>0</v>
      </c>
      <c r="E139" s="14">
        <f>SUMIFS(Orders!$O$5:$O$154,Orders!$B$5:$B$154,$A139,Orders!$Q$5:$Q$154,"Paid",Orders!$R$5:$R$154,"Completed")</f>
        <v>0</v>
      </c>
      <c r="F139" s="14">
        <f>SUMIFS(Expenses!$J$5:$J$104,Expenses!$B$5:$B$104,$A139,Expenses!$L$5:$L$104,"Operating Expense",Expenses!$M$5:$M$104,"Paid")</f>
        <v>0</v>
      </c>
      <c r="G139" s="9">
        <f t="shared" si="16"/>
        <v>0</v>
      </c>
      <c r="H139" s="9">
        <f t="shared" si="17"/>
        <v>0</v>
      </c>
      <c r="I139" s="18">
        <f>SUMIFS(Orders!$U$5:$U$154,Orders!$B$5:$B$154,$A139)</f>
        <v>0</v>
      </c>
      <c r="J139" s="18">
        <f>SUMIFS(Orders!$H$5:$H$154,Orders!$B$5:$B$154,$A139,Orders!$Q$5:$Q$154,"Paid",Orders!$R$5:$R$154,"Completed")</f>
        <v>0</v>
      </c>
      <c r="K139" s="14">
        <f>SUMIFS(Orders!$M$5:$M$154,Orders!$B$5:$B$154,$A139,Orders!$P$5:$P$154,"Cash",Orders!$Q$5:$Q$154,"Paid",Orders!$R$5:$R$154,"Completed")</f>
        <v>0</v>
      </c>
      <c r="L139" s="14">
        <f t="shared" si="18"/>
        <v>0</v>
      </c>
      <c r="M139" s="14">
        <f>SUMIFS(Expenses!$J$5:$J$104,Expenses!$B$5:$B$104,$A139,Expenses!$M$5:$M$104,"Paid")</f>
        <v>0</v>
      </c>
    </row>
    <row r="140" spans="1:13">
      <c r="A140" s="17">
        <f t="shared" si="19"/>
        <v>46339</v>
      </c>
      <c r="B140" s="14">
        <f>SUMIFS(Orders!$K$5:$K$154,Orders!$B$5:$B$154,$A140,Orders!$Q$5:$Q$154,"Paid",Orders!$R$5:$R$154,"Completed")</f>
        <v>0</v>
      </c>
      <c r="C140" s="14">
        <f>SUMIFS(Orders!$L$5:$L$154,Orders!$B$5:$B$154,$A140,Orders!$Q$5:$Q$154,"Paid",Orders!$R$5:$R$154,"Completed")</f>
        <v>0</v>
      </c>
      <c r="D140" s="14">
        <f>SUMIFS(Orders!$M$5:$M$154,Orders!$B$5:$B$154,$A140,Orders!$Q$5:$Q$154,"Paid",Orders!$R$5:$R$154,"Completed")</f>
        <v>0</v>
      </c>
      <c r="E140" s="14">
        <f>SUMIFS(Orders!$O$5:$O$154,Orders!$B$5:$B$154,$A140,Orders!$Q$5:$Q$154,"Paid",Orders!$R$5:$R$154,"Completed")</f>
        <v>0</v>
      </c>
      <c r="F140" s="14">
        <f>SUMIFS(Expenses!$J$5:$J$104,Expenses!$B$5:$B$104,$A140,Expenses!$L$5:$L$104,"Operating Expense",Expenses!$M$5:$M$104,"Paid")</f>
        <v>0</v>
      </c>
      <c r="G140" s="9">
        <f t="shared" si="16"/>
        <v>0</v>
      </c>
      <c r="H140" s="9">
        <f t="shared" si="17"/>
        <v>0</v>
      </c>
      <c r="I140" s="18">
        <f>SUMIFS(Orders!$U$5:$U$154,Orders!$B$5:$B$154,$A140)</f>
        <v>0</v>
      </c>
      <c r="J140" s="18">
        <f>SUMIFS(Orders!$H$5:$H$154,Orders!$B$5:$B$154,$A140,Orders!$Q$5:$Q$154,"Paid",Orders!$R$5:$R$154,"Completed")</f>
        <v>0</v>
      </c>
      <c r="K140" s="14">
        <f>SUMIFS(Orders!$M$5:$M$154,Orders!$B$5:$B$154,$A140,Orders!$P$5:$P$154,"Cash",Orders!$Q$5:$Q$154,"Paid",Orders!$R$5:$R$154,"Completed")</f>
        <v>0</v>
      </c>
      <c r="L140" s="14">
        <f t="shared" si="18"/>
        <v>0</v>
      </c>
      <c r="M140" s="14">
        <f>SUMIFS(Expenses!$J$5:$J$104,Expenses!$B$5:$B$104,$A140,Expenses!$M$5:$M$104,"Paid")</f>
        <v>0</v>
      </c>
    </row>
    <row r="141" spans="1:13">
      <c r="A141" s="17">
        <f t="shared" si="19"/>
        <v>46340</v>
      </c>
      <c r="B141" s="14">
        <f>SUMIFS(Orders!$K$5:$K$154,Orders!$B$5:$B$154,$A141,Orders!$Q$5:$Q$154,"Paid",Orders!$R$5:$R$154,"Completed")</f>
        <v>0</v>
      </c>
      <c r="C141" s="14">
        <f>SUMIFS(Orders!$L$5:$L$154,Orders!$B$5:$B$154,$A141,Orders!$Q$5:$Q$154,"Paid",Orders!$R$5:$R$154,"Completed")</f>
        <v>0</v>
      </c>
      <c r="D141" s="14">
        <f>SUMIFS(Orders!$M$5:$M$154,Orders!$B$5:$B$154,$A141,Orders!$Q$5:$Q$154,"Paid",Orders!$R$5:$R$154,"Completed")</f>
        <v>0</v>
      </c>
      <c r="E141" s="14">
        <f>SUMIFS(Orders!$O$5:$O$154,Orders!$B$5:$B$154,$A141,Orders!$Q$5:$Q$154,"Paid",Orders!$R$5:$R$154,"Completed")</f>
        <v>0</v>
      </c>
      <c r="F141" s="14">
        <f>SUMIFS(Expenses!$J$5:$J$104,Expenses!$B$5:$B$104,$A141,Expenses!$L$5:$L$104,"Operating Expense",Expenses!$M$5:$M$104,"Paid")</f>
        <v>0</v>
      </c>
      <c r="G141" s="9">
        <f t="shared" si="16"/>
        <v>0</v>
      </c>
      <c r="H141" s="9">
        <f t="shared" si="17"/>
        <v>0</v>
      </c>
      <c r="I141" s="18">
        <f>SUMIFS(Orders!$U$5:$U$154,Orders!$B$5:$B$154,$A141)</f>
        <v>0</v>
      </c>
      <c r="J141" s="18">
        <f>SUMIFS(Orders!$H$5:$H$154,Orders!$B$5:$B$154,$A141,Orders!$Q$5:$Q$154,"Paid",Orders!$R$5:$R$154,"Completed")</f>
        <v>0</v>
      </c>
      <c r="K141" s="14">
        <f>SUMIFS(Orders!$M$5:$M$154,Orders!$B$5:$B$154,$A141,Orders!$P$5:$P$154,"Cash",Orders!$Q$5:$Q$154,"Paid",Orders!$R$5:$R$154,"Completed")</f>
        <v>0</v>
      </c>
      <c r="L141" s="14">
        <f t="shared" si="18"/>
        <v>0</v>
      </c>
      <c r="M141" s="14">
        <f>SUMIFS(Expenses!$J$5:$J$104,Expenses!$B$5:$B$104,$A141,Expenses!$M$5:$M$104,"Paid")</f>
        <v>0</v>
      </c>
    </row>
    <row r="142" spans="1:13">
      <c r="A142" s="17">
        <f t="shared" si="19"/>
        <v>46341</v>
      </c>
      <c r="B142" s="14">
        <f>SUMIFS(Orders!$K$5:$K$154,Orders!$B$5:$B$154,$A142,Orders!$Q$5:$Q$154,"Paid",Orders!$R$5:$R$154,"Completed")</f>
        <v>0</v>
      </c>
      <c r="C142" s="14">
        <f>SUMIFS(Orders!$L$5:$L$154,Orders!$B$5:$B$154,$A142,Orders!$Q$5:$Q$154,"Paid",Orders!$R$5:$R$154,"Completed")</f>
        <v>0</v>
      </c>
      <c r="D142" s="14">
        <f>SUMIFS(Orders!$M$5:$M$154,Orders!$B$5:$B$154,$A142,Orders!$Q$5:$Q$154,"Paid",Orders!$R$5:$R$154,"Completed")</f>
        <v>0</v>
      </c>
      <c r="E142" s="14">
        <f>SUMIFS(Orders!$O$5:$O$154,Orders!$B$5:$B$154,$A142,Orders!$Q$5:$Q$154,"Paid",Orders!$R$5:$R$154,"Completed")</f>
        <v>0</v>
      </c>
      <c r="F142" s="14">
        <f>SUMIFS(Expenses!$J$5:$J$104,Expenses!$B$5:$B$104,$A142,Expenses!$L$5:$L$104,"Operating Expense",Expenses!$M$5:$M$104,"Paid")</f>
        <v>0</v>
      </c>
      <c r="G142" s="9">
        <f t="shared" si="16"/>
        <v>0</v>
      </c>
      <c r="H142" s="9">
        <f t="shared" si="17"/>
        <v>0</v>
      </c>
      <c r="I142" s="18">
        <f>SUMIFS(Orders!$U$5:$U$154,Orders!$B$5:$B$154,$A142)</f>
        <v>0</v>
      </c>
      <c r="J142" s="18">
        <f>SUMIFS(Orders!$H$5:$H$154,Orders!$B$5:$B$154,$A142,Orders!$Q$5:$Q$154,"Paid",Orders!$R$5:$R$154,"Completed")</f>
        <v>0</v>
      </c>
      <c r="K142" s="14">
        <f>SUMIFS(Orders!$M$5:$M$154,Orders!$B$5:$B$154,$A142,Orders!$P$5:$P$154,"Cash",Orders!$Q$5:$Q$154,"Paid",Orders!$R$5:$R$154,"Completed")</f>
        <v>0</v>
      </c>
      <c r="L142" s="14">
        <f t="shared" si="18"/>
        <v>0</v>
      </c>
      <c r="M142" s="14">
        <f>SUMIFS(Expenses!$J$5:$J$104,Expenses!$B$5:$B$104,$A142,Expenses!$M$5:$M$104,"Paid")</f>
        <v>0</v>
      </c>
    </row>
    <row r="143" spans="1:13">
      <c r="A143" s="17">
        <f t="shared" si="19"/>
        <v>46342</v>
      </c>
      <c r="B143" s="14">
        <f>SUMIFS(Orders!$K$5:$K$154,Orders!$B$5:$B$154,$A143,Orders!$Q$5:$Q$154,"Paid",Orders!$R$5:$R$154,"Completed")</f>
        <v>0</v>
      </c>
      <c r="C143" s="14">
        <f>SUMIFS(Orders!$L$5:$L$154,Orders!$B$5:$B$154,$A143,Orders!$Q$5:$Q$154,"Paid",Orders!$R$5:$R$154,"Completed")</f>
        <v>0</v>
      </c>
      <c r="D143" s="14">
        <f>SUMIFS(Orders!$M$5:$M$154,Orders!$B$5:$B$154,$A143,Orders!$Q$5:$Q$154,"Paid",Orders!$R$5:$R$154,"Completed")</f>
        <v>0</v>
      </c>
      <c r="E143" s="14">
        <f>SUMIFS(Orders!$O$5:$O$154,Orders!$B$5:$B$154,$A143,Orders!$Q$5:$Q$154,"Paid",Orders!$R$5:$R$154,"Completed")</f>
        <v>0</v>
      </c>
      <c r="F143" s="14">
        <f>SUMIFS(Expenses!$J$5:$J$104,Expenses!$B$5:$B$104,$A143,Expenses!$L$5:$L$104,"Operating Expense",Expenses!$M$5:$M$104,"Paid")</f>
        <v>0</v>
      </c>
      <c r="G143" s="9">
        <f t="shared" si="16"/>
        <v>0</v>
      </c>
      <c r="H143" s="9">
        <f t="shared" si="17"/>
        <v>0</v>
      </c>
      <c r="I143" s="18">
        <f>SUMIFS(Orders!$U$5:$U$154,Orders!$B$5:$B$154,$A143)</f>
        <v>0</v>
      </c>
      <c r="J143" s="18">
        <f>SUMIFS(Orders!$H$5:$H$154,Orders!$B$5:$B$154,$A143,Orders!$Q$5:$Q$154,"Paid",Orders!$R$5:$R$154,"Completed")</f>
        <v>0</v>
      </c>
      <c r="K143" s="14">
        <f>SUMIFS(Orders!$M$5:$M$154,Orders!$B$5:$B$154,$A143,Orders!$P$5:$P$154,"Cash",Orders!$Q$5:$Q$154,"Paid",Orders!$R$5:$R$154,"Completed")</f>
        <v>0</v>
      </c>
      <c r="L143" s="14">
        <f t="shared" si="18"/>
        <v>0</v>
      </c>
      <c r="M143" s="14">
        <f>SUMIFS(Expenses!$J$5:$J$104,Expenses!$B$5:$B$104,$A143,Expenses!$M$5:$M$104,"Paid")</f>
        <v>0</v>
      </c>
    </row>
    <row r="144" spans="1:13">
      <c r="A144" s="17">
        <f t="shared" si="19"/>
        <v>46343</v>
      </c>
      <c r="B144" s="14">
        <f>SUMIFS(Orders!$K$5:$K$154,Orders!$B$5:$B$154,$A144,Orders!$Q$5:$Q$154,"Paid",Orders!$R$5:$R$154,"Completed")</f>
        <v>0</v>
      </c>
      <c r="C144" s="14">
        <f>SUMIFS(Orders!$L$5:$L$154,Orders!$B$5:$B$154,$A144,Orders!$Q$5:$Q$154,"Paid",Orders!$R$5:$R$154,"Completed")</f>
        <v>0</v>
      </c>
      <c r="D144" s="14">
        <f>SUMIFS(Orders!$M$5:$M$154,Orders!$B$5:$B$154,$A144,Orders!$Q$5:$Q$154,"Paid",Orders!$R$5:$R$154,"Completed")</f>
        <v>0</v>
      </c>
      <c r="E144" s="14">
        <f>SUMIFS(Orders!$O$5:$O$154,Orders!$B$5:$B$154,$A144,Orders!$Q$5:$Q$154,"Paid",Orders!$R$5:$R$154,"Completed")</f>
        <v>0</v>
      </c>
      <c r="F144" s="14">
        <f>SUMIFS(Expenses!$J$5:$J$104,Expenses!$B$5:$B$104,$A144,Expenses!$L$5:$L$104,"Operating Expense",Expenses!$M$5:$M$104,"Paid")</f>
        <v>0</v>
      </c>
      <c r="G144" s="9">
        <f t="shared" si="16"/>
        <v>0</v>
      </c>
      <c r="H144" s="9">
        <f t="shared" si="17"/>
        <v>0</v>
      </c>
      <c r="I144" s="18">
        <f>SUMIFS(Orders!$U$5:$U$154,Orders!$B$5:$B$154,$A144)</f>
        <v>0</v>
      </c>
      <c r="J144" s="18">
        <f>SUMIFS(Orders!$H$5:$H$154,Orders!$B$5:$B$154,$A144,Orders!$Q$5:$Q$154,"Paid",Orders!$R$5:$R$154,"Completed")</f>
        <v>0</v>
      </c>
      <c r="K144" s="14">
        <f>SUMIFS(Orders!$M$5:$M$154,Orders!$B$5:$B$154,$A144,Orders!$P$5:$P$154,"Cash",Orders!$Q$5:$Q$154,"Paid",Orders!$R$5:$R$154,"Completed")</f>
        <v>0</v>
      </c>
      <c r="L144" s="14">
        <f t="shared" si="18"/>
        <v>0</v>
      </c>
      <c r="M144" s="14">
        <f>SUMIFS(Expenses!$J$5:$J$104,Expenses!$B$5:$B$104,$A144,Expenses!$M$5:$M$104,"Paid")</f>
        <v>0</v>
      </c>
    </row>
    <row r="145" spans="1:13">
      <c r="A145" s="17">
        <f t="shared" si="19"/>
        <v>46344</v>
      </c>
      <c r="B145" s="14">
        <f>SUMIFS(Orders!$K$5:$K$154,Orders!$B$5:$B$154,$A145,Orders!$Q$5:$Q$154,"Paid",Orders!$R$5:$R$154,"Completed")</f>
        <v>0</v>
      </c>
      <c r="C145" s="14">
        <f>SUMIFS(Orders!$L$5:$L$154,Orders!$B$5:$B$154,$A145,Orders!$Q$5:$Q$154,"Paid",Orders!$R$5:$R$154,"Completed")</f>
        <v>0</v>
      </c>
      <c r="D145" s="14">
        <f>SUMIFS(Orders!$M$5:$M$154,Orders!$B$5:$B$154,$A145,Orders!$Q$5:$Q$154,"Paid",Orders!$R$5:$R$154,"Completed")</f>
        <v>0</v>
      </c>
      <c r="E145" s="14">
        <f>SUMIFS(Orders!$O$5:$O$154,Orders!$B$5:$B$154,$A145,Orders!$Q$5:$Q$154,"Paid",Orders!$R$5:$R$154,"Completed")</f>
        <v>0</v>
      </c>
      <c r="F145" s="14">
        <f>SUMIFS(Expenses!$J$5:$J$104,Expenses!$B$5:$B$104,$A145,Expenses!$L$5:$L$104,"Operating Expense",Expenses!$M$5:$M$104,"Paid")</f>
        <v>0</v>
      </c>
      <c r="G145" s="9">
        <f t="shared" si="16"/>
        <v>0</v>
      </c>
      <c r="H145" s="9">
        <f t="shared" si="17"/>
        <v>0</v>
      </c>
      <c r="I145" s="18">
        <f>SUMIFS(Orders!$U$5:$U$154,Orders!$B$5:$B$154,$A145)</f>
        <v>0</v>
      </c>
      <c r="J145" s="18">
        <f>SUMIFS(Orders!$H$5:$H$154,Orders!$B$5:$B$154,$A145,Orders!$Q$5:$Q$154,"Paid",Orders!$R$5:$R$154,"Completed")</f>
        <v>0</v>
      </c>
      <c r="K145" s="14">
        <f>SUMIFS(Orders!$M$5:$M$154,Orders!$B$5:$B$154,$A145,Orders!$P$5:$P$154,"Cash",Orders!$Q$5:$Q$154,"Paid",Orders!$R$5:$R$154,"Completed")</f>
        <v>0</v>
      </c>
      <c r="L145" s="14">
        <f t="shared" si="18"/>
        <v>0</v>
      </c>
      <c r="M145" s="14">
        <f>SUMIFS(Expenses!$J$5:$J$104,Expenses!$B$5:$B$104,$A145,Expenses!$M$5:$M$104,"Paid")</f>
        <v>0</v>
      </c>
    </row>
    <row r="146" spans="1:13">
      <c r="A146" s="17">
        <f t="shared" si="19"/>
        <v>46345</v>
      </c>
      <c r="B146" s="14">
        <f>SUMIFS(Orders!$K$5:$K$154,Orders!$B$5:$B$154,$A146,Orders!$Q$5:$Q$154,"Paid",Orders!$R$5:$R$154,"Completed")</f>
        <v>0</v>
      </c>
      <c r="C146" s="14">
        <f>SUMIFS(Orders!$L$5:$L$154,Orders!$B$5:$B$154,$A146,Orders!$Q$5:$Q$154,"Paid",Orders!$R$5:$R$154,"Completed")</f>
        <v>0</v>
      </c>
      <c r="D146" s="14">
        <f>SUMIFS(Orders!$M$5:$M$154,Orders!$B$5:$B$154,$A146,Orders!$Q$5:$Q$154,"Paid",Orders!$R$5:$R$154,"Completed")</f>
        <v>0</v>
      </c>
      <c r="E146" s="14">
        <f>SUMIFS(Orders!$O$5:$O$154,Orders!$B$5:$B$154,$A146,Orders!$Q$5:$Q$154,"Paid",Orders!$R$5:$R$154,"Completed")</f>
        <v>0</v>
      </c>
      <c r="F146" s="14">
        <f>SUMIFS(Expenses!$J$5:$J$104,Expenses!$B$5:$B$104,$A146,Expenses!$L$5:$L$104,"Operating Expense",Expenses!$M$5:$M$104,"Paid")</f>
        <v>0</v>
      </c>
      <c r="G146" s="9">
        <f t="shared" si="16"/>
        <v>0</v>
      </c>
      <c r="H146" s="9">
        <f t="shared" si="17"/>
        <v>0</v>
      </c>
      <c r="I146" s="18">
        <f>SUMIFS(Orders!$U$5:$U$154,Orders!$B$5:$B$154,$A146)</f>
        <v>0</v>
      </c>
      <c r="J146" s="18">
        <f>SUMIFS(Orders!$H$5:$H$154,Orders!$B$5:$B$154,$A146,Orders!$Q$5:$Q$154,"Paid",Orders!$R$5:$R$154,"Completed")</f>
        <v>0</v>
      </c>
      <c r="K146" s="14">
        <f>SUMIFS(Orders!$M$5:$M$154,Orders!$B$5:$B$154,$A146,Orders!$P$5:$P$154,"Cash",Orders!$Q$5:$Q$154,"Paid",Orders!$R$5:$R$154,"Completed")</f>
        <v>0</v>
      </c>
      <c r="L146" s="14">
        <f t="shared" si="18"/>
        <v>0</v>
      </c>
      <c r="M146" s="14">
        <f>SUMIFS(Expenses!$J$5:$J$104,Expenses!$B$5:$B$104,$A146,Expenses!$M$5:$M$104,"Paid")</f>
        <v>0</v>
      </c>
    </row>
    <row r="147" spans="1:13">
      <c r="A147" s="17">
        <f t="shared" si="19"/>
        <v>46346</v>
      </c>
      <c r="B147" s="14">
        <f>SUMIFS(Orders!$K$5:$K$154,Orders!$B$5:$B$154,$A147,Orders!$Q$5:$Q$154,"Paid",Orders!$R$5:$R$154,"Completed")</f>
        <v>0</v>
      </c>
      <c r="C147" s="14">
        <f>SUMIFS(Orders!$L$5:$L$154,Orders!$B$5:$B$154,$A147,Orders!$Q$5:$Q$154,"Paid",Orders!$R$5:$R$154,"Completed")</f>
        <v>0</v>
      </c>
      <c r="D147" s="14">
        <f>SUMIFS(Orders!$M$5:$M$154,Orders!$B$5:$B$154,$A147,Orders!$Q$5:$Q$154,"Paid",Orders!$R$5:$R$154,"Completed")</f>
        <v>0</v>
      </c>
      <c r="E147" s="14">
        <f>SUMIFS(Orders!$O$5:$O$154,Orders!$B$5:$B$154,$A147,Orders!$Q$5:$Q$154,"Paid",Orders!$R$5:$R$154,"Completed")</f>
        <v>0</v>
      </c>
      <c r="F147" s="14">
        <f>SUMIFS(Expenses!$J$5:$J$104,Expenses!$B$5:$B$104,$A147,Expenses!$L$5:$L$104,"Operating Expense",Expenses!$M$5:$M$104,"Paid")</f>
        <v>0</v>
      </c>
      <c r="G147" s="9">
        <f t="shared" si="16"/>
        <v>0</v>
      </c>
      <c r="H147" s="9">
        <f t="shared" si="17"/>
        <v>0</v>
      </c>
      <c r="I147" s="18">
        <f>SUMIFS(Orders!$U$5:$U$154,Orders!$B$5:$B$154,$A147)</f>
        <v>0</v>
      </c>
      <c r="J147" s="18">
        <f>SUMIFS(Orders!$H$5:$H$154,Orders!$B$5:$B$154,$A147,Orders!$Q$5:$Q$154,"Paid",Orders!$R$5:$R$154,"Completed")</f>
        <v>0</v>
      </c>
      <c r="K147" s="14">
        <f>SUMIFS(Orders!$M$5:$M$154,Orders!$B$5:$B$154,$A147,Orders!$P$5:$P$154,"Cash",Orders!$Q$5:$Q$154,"Paid",Orders!$R$5:$R$154,"Completed")</f>
        <v>0</v>
      </c>
      <c r="L147" s="14">
        <f t="shared" si="18"/>
        <v>0</v>
      </c>
      <c r="M147" s="14">
        <f>SUMIFS(Expenses!$J$5:$J$104,Expenses!$B$5:$B$104,$A147,Expenses!$M$5:$M$104,"Paid")</f>
        <v>0</v>
      </c>
    </row>
    <row r="148" spans="1:13">
      <c r="A148" s="17">
        <f t="shared" si="19"/>
        <v>46347</v>
      </c>
      <c r="B148" s="14">
        <f>SUMIFS(Orders!$K$5:$K$154,Orders!$B$5:$B$154,$A148,Orders!$Q$5:$Q$154,"Paid",Orders!$R$5:$R$154,"Completed")</f>
        <v>0</v>
      </c>
      <c r="C148" s="14">
        <f>SUMIFS(Orders!$L$5:$L$154,Orders!$B$5:$B$154,$A148,Orders!$Q$5:$Q$154,"Paid",Orders!$R$5:$R$154,"Completed")</f>
        <v>0</v>
      </c>
      <c r="D148" s="14">
        <f>SUMIFS(Orders!$M$5:$M$154,Orders!$B$5:$B$154,$A148,Orders!$Q$5:$Q$154,"Paid",Orders!$R$5:$R$154,"Completed")</f>
        <v>0</v>
      </c>
      <c r="E148" s="14">
        <f>SUMIFS(Orders!$O$5:$O$154,Orders!$B$5:$B$154,$A148,Orders!$Q$5:$Q$154,"Paid",Orders!$R$5:$R$154,"Completed")</f>
        <v>0</v>
      </c>
      <c r="F148" s="14">
        <f>SUMIFS(Expenses!$J$5:$J$104,Expenses!$B$5:$B$104,$A148,Expenses!$L$5:$L$104,"Operating Expense",Expenses!$M$5:$M$104,"Paid")</f>
        <v>0</v>
      </c>
      <c r="G148" s="9">
        <f t="shared" si="16"/>
        <v>0</v>
      </c>
      <c r="H148" s="9">
        <f t="shared" si="17"/>
        <v>0</v>
      </c>
      <c r="I148" s="18">
        <f>SUMIFS(Orders!$U$5:$U$154,Orders!$B$5:$B$154,$A148)</f>
        <v>0</v>
      </c>
      <c r="J148" s="18">
        <f>SUMIFS(Orders!$H$5:$H$154,Orders!$B$5:$B$154,$A148,Orders!$Q$5:$Q$154,"Paid",Orders!$R$5:$R$154,"Completed")</f>
        <v>0</v>
      </c>
      <c r="K148" s="14">
        <f>SUMIFS(Orders!$M$5:$M$154,Orders!$B$5:$B$154,$A148,Orders!$P$5:$P$154,"Cash",Orders!$Q$5:$Q$154,"Paid",Orders!$R$5:$R$154,"Completed")</f>
        <v>0</v>
      </c>
      <c r="L148" s="14">
        <f t="shared" si="18"/>
        <v>0</v>
      </c>
      <c r="M148" s="14">
        <f>SUMIFS(Expenses!$J$5:$J$104,Expenses!$B$5:$B$104,$A148,Expenses!$M$5:$M$104,"Paid")</f>
        <v>0</v>
      </c>
    </row>
    <row r="149" spans="1:13">
      <c r="A149" s="17">
        <f t="shared" si="19"/>
        <v>46348</v>
      </c>
      <c r="B149" s="14">
        <f>SUMIFS(Orders!$K$5:$K$154,Orders!$B$5:$B$154,$A149,Orders!$Q$5:$Q$154,"Paid",Orders!$R$5:$R$154,"Completed")</f>
        <v>0</v>
      </c>
      <c r="C149" s="14">
        <f>SUMIFS(Orders!$L$5:$L$154,Orders!$B$5:$B$154,$A149,Orders!$Q$5:$Q$154,"Paid",Orders!$R$5:$R$154,"Completed")</f>
        <v>0</v>
      </c>
      <c r="D149" s="14">
        <f>SUMIFS(Orders!$M$5:$M$154,Orders!$B$5:$B$154,$A149,Orders!$Q$5:$Q$154,"Paid",Orders!$R$5:$R$154,"Completed")</f>
        <v>0</v>
      </c>
      <c r="E149" s="14">
        <f>SUMIFS(Orders!$O$5:$O$154,Orders!$B$5:$B$154,$A149,Orders!$Q$5:$Q$154,"Paid",Orders!$R$5:$R$154,"Completed")</f>
        <v>0</v>
      </c>
      <c r="F149" s="14">
        <f>SUMIFS(Expenses!$J$5:$J$104,Expenses!$B$5:$B$104,$A149,Expenses!$L$5:$L$104,"Operating Expense",Expenses!$M$5:$M$104,"Paid")</f>
        <v>0</v>
      </c>
      <c r="G149" s="9">
        <f t="shared" si="16"/>
        <v>0</v>
      </c>
      <c r="H149" s="9">
        <f t="shared" si="17"/>
        <v>0</v>
      </c>
      <c r="I149" s="18">
        <f>SUMIFS(Orders!$U$5:$U$154,Orders!$B$5:$B$154,$A149)</f>
        <v>0</v>
      </c>
      <c r="J149" s="18">
        <f>SUMIFS(Orders!$H$5:$H$154,Orders!$B$5:$B$154,$A149,Orders!$Q$5:$Q$154,"Paid",Orders!$R$5:$R$154,"Completed")</f>
        <v>0</v>
      </c>
      <c r="K149" s="14">
        <f>SUMIFS(Orders!$M$5:$M$154,Orders!$B$5:$B$154,$A149,Orders!$P$5:$P$154,"Cash",Orders!$Q$5:$Q$154,"Paid",Orders!$R$5:$R$154,"Completed")</f>
        <v>0</v>
      </c>
      <c r="L149" s="14">
        <f t="shared" si="18"/>
        <v>0</v>
      </c>
      <c r="M149" s="14">
        <f>SUMIFS(Expenses!$J$5:$J$104,Expenses!$B$5:$B$104,$A149,Expenses!$M$5:$M$104,"Paid")</f>
        <v>0</v>
      </c>
    </row>
    <row r="150" spans="1:13">
      <c r="A150" s="17">
        <f t="shared" si="19"/>
        <v>46349</v>
      </c>
      <c r="B150" s="14">
        <f>SUMIFS(Orders!$K$5:$K$154,Orders!$B$5:$B$154,$A150,Orders!$Q$5:$Q$154,"Paid",Orders!$R$5:$R$154,"Completed")</f>
        <v>0</v>
      </c>
      <c r="C150" s="14">
        <f>SUMIFS(Orders!$L$5:$L$154,Orders!$B$5:$B$154,$A150,Orders!$Q$5:$Q$154,"Paid",Orders!$R$5:$R$154,"Completed")</f>
        <v>0</v>
      </c>
      <c r="D150" s="14">
        <f>SUMIFS(Orders!$M$5:$M$154,Orders!$B$5:$B$154,$A150,Orders!$Q$5:$Q$154,"Paid",Orders!$R$5:$R$154,"Completed")</f>
        <v>0</v>
      </c>
      <c r="E150" s="14">
        <f>SUMIFS(Orders!$O$5:$O$154,Orders!$B$5:$B$154,$A150,Orders!$Q$5:$Q$154,"Paid",Orders!$R$5:$R$154,"Completed")</f>
        <v>0</v>
      </c>
      <c r="F150" s="14">
        <f>SUMIFS(Expenses!$J$5:$J$104,Expenses!$B$5:$B$104,$A150,Expenses!$L$5:$L$104,"Operating Expense",Expenses!$M$5:$M$104,"Paid")</f>
        <v>0</v>
      </c>
      <c r="G150" s="9">
        <f t="shared" si="16"/>
        <v>0</v>
      </c>
      <c r="H150" s="9">
        <f t="shared" si="17"/>
        <v>0</v>
      </c>
      <c r="I150" s="18">
        <f>SUMIFS(Orders!$U$5:$U$154,Orders!$B$5:$B$154,$A150)</f>
        <v>0</v>
      </c>
      <c r="J150" s="18">
        <f>SUMIFS(Orders!$H$5:$H$154,Orders!$B$5:$B$154,$A150,Orders!$Q$5:$Q$154,"Paid",Orders!$R$5:$R$154,"Completed")</f>
        <v>0</v>
      </c>
      <c r="K150" s="14">
        <f>SUMIFS(Orders!$M$5:$M$154,Orders!$B$5:$B$154,$A150,Orders!$P$5:$P$154,"Cash",Orders!$Q$5:$Q$154,"Paid",Orders!$R$5:$R$154,"Completed")</f>
        <v>0</v>
      </c>
      <c r="L150" s="14">
        <f t="shared" si="18"/>
        <v>0</v>
      </c>
      <c r="M150" s="14">
        <f>SUMIFS(Expenses!$J$5:$J$104,Expenses!$B$5:$B$104,$A150,Expenses!$M$5:$M$104,"Paid")</f>
        <v>0</v>
      </c>
    </row>
    <row r="151" spans="1:13">
      <c r="A151" s="17">
        <f t="shared" si="19"/>
        <v>46350</v>
      </c>
      <c r="B151" s="14">
        <f>SUMIFS(Orders!$K$5:$K$154,Orders!$B$5:$B$154,$A151,Orders!$Q$5:$Q$154,"Paid",Orders!$R$5:$R$154,"Completed")</f>
        <v>0</v>
      </c>
      <c r="C151" s="14">
        <f>SUMIFS(Orders!$L$5:$L$154,Orders!$B$5:$B$154,$A151,Orders!$Q$5:$Q$154,"Paid",Orders!$R$5:$R$154,"Completed")</f>
        <v>0</v>
      </c>
      <c r="D151" s="14">
        <f>SUMIFS(Orders!$M$5:$M$154,Orders!$B$5:$B$154,$A151,Orders!$Q$5:$Q$154,"Paid",Orders!$R$5:$R$154,"Completed")</f>
        <v>0</v>
      </c>
      <c r="E151" s="14">
        <f>SUMIFS(Orders!$O$5:$O$154,Orders!$B$5:$B$154,$A151,Orders!$Q$5:$Q$154,"Paid",Orders!$R$5:$R$154,"Completed")</f>
        <v>0</v>
      </c>
      <c r="F151" s="14">
        <f>SUMIFS(Expenses!$J$5:$J$104,Expenses!$B$5:$B$104,$A151,Expenses!$L$5:$L$104,"Operating Expense",Expenses!$M$5:$M$104,"Paid")</f>
        <v>0</v>
      </c>
      <c r="G151" s="9">
        <f t="shared" si="16"/>
        <v>0</v>
      </c>
      <c r="H151" s="9">
        <f t="shared" si="17"/>
        <v>0</v>
      </c>
      <c r="I151" s="18">
        <f>SUMIFS(Orders!$U$5:$U$154,Orders!$B$5:$B$154,$A151)</f>
        <v>0</v>
      </c>
      <c r="J151" s="18">
        <f>SUMIFS(Orders!$H$5:$H$154,Orders!$B$5:$B$154,$A151,Orders!$Q$5:$Q$154,"Paid",Orders!$R$5:$R$154,"Completed")</f>
        <v>0</v>
      </c>
      <c r="K151" s="14">
        <f>SUMIFS(Orders!$M$5:$M$154,Orders!$B$5:$B$154,$A151,Orders!$P$5:$P$154,"Cash",Orders!$Q$5:$Q$154,"Paid",Orders!$R$5:$R$154,"Completed")</f>
        <v>0</v>
      </c>
      <c r="L151" s="14">
        <f t="shared" si="18"/>
        <v>0</v>
      </c>
      <c r="M151" s="14">
        <f>SUMIFS(Expenses!$J$5:$J$104,Expenses!$B$5:$B$104,$A151,Expenses!$M$5:$M$104,"Paid")</f>
        <v>0</v>
      </c>
    </row>
    <row r="152" spans="1:13">
      <c r="A152" s="17">
        <f t="shared" si="19"/>
        <v>46351</v>
      </c>
      <c r="B152" s="14">
        <f>SUMIFS(Orders!$K$5:$K$154,Orders!$B$5:$B$154,$A152,Orders!$Q$5:$Q$154,"Paid",Orders!$R$5:$R$154,"Completed")</f>
        <v>0</v>
      </c>
      <c r="C152" s="14">
        <f>SUMIFS(Orders!$L$5:$L$154,Orders!$B$5:$B$154,$A152,Orders!$Q$5:$Q$154,"Paid",Orders!$R$5:$R$154,"Completed")</f>
        <v>0</v>
      </c>
      <c r="D152" s="14">
        <f>SUMIFS(Orders!$M$5:$M$154,Orders!$B$5:$B$154,$A152,Orders!$Q$5:$Q$154,"Paid",Orders!$R$5:$R$154,"Completed")</f>
        <v>0</v>
      </c>
      <c r="E152" s="14">
        <f>SUMIFS(Orders!$O$5:$O$154,Orders!$B$5:$B$154,$A152,Orders!$Q$5:$Q$154,"Paid",Orders!$R$5:$R$154,"Completed")</f>
        <v>0</v>
      </c>
      <c r="F152" s="14">
        <f>SUMIFS(Expenses!$J$5:$J$104,Expenses!$B$5:$B$104,$A152,Expenses!$L$5:$L$104,"Operating Expense",Expenses!$M$5:$M$104,"Paid")</f>
        <v>0</v>
      </c>
      <c r="G152" s="9">
        <f t="shared" si="16"/>
        <v>0</v>
      </c>
      <c r="H152" s="9">
        <f t="shared" si="17"/>
        <v>0</v>
      </c>
      <c r="I152" s="18">
        <f>SUMIFS(Orders!$U$5:$U$154,Orders!$B$5:$B$154,$A152)</f>
        <v>0</v>
      </c>
      <c r="J152" s="18">
        <f>SUMIFS(Orders!$H$5:$H$154,Orders!$B$5:$B$154,$A152,Orders!$Q$5:$Q$154,"Paid",Orders!$R$5:$R$154,"Completed")</f>
        <v>0</v>
      </c>
      <c r="K152" s="14">
        <f>SUMIFS(Orders!$M$5:$M$154,Orders!$B$5:$B$154,$A152,Orders!$P$5:$P$154,"Cash",Orders!$Q$5:$Q$154,"Paid",Orders!$R$5:$R$154,"Completed")</f>
        <v>0</v>
      </c>
      <c r="L152" s="14">
        <f t="shared" si="18"/>
        <v>0</v>
      </c>
      <c r="M152" s="14">
        <f>SUMIFS(Expenses!$J$5:$J$104,Expenses!$B$5:$B$104,$A152,Expenses!$M$5:$M$104,"Paid")</f>
        <v>0</v>
      </c>
    </row>
    <row r="153" spans="1:13">
      <c r="A153" s="17">
        <f t="shared" si="19"/>
        <v>46352</v>
      </c>
      <c r="B153" s="14">
        <f>SUMIFS(Orders!$K$5:$K$154,Orders!$B$5:$B$154,$A153,Orders!$Q$5:$Q$154,"Paid",Orders!$R$5:$R$154,"Completed")</f>
        <v>0</v>
      </c>
      <c r="C153" s="14">
        <f>SUMIFS(Orders!$L$5:$L$154,Orders!$B$5:$B$154,$A153,Orders!$Q$5:$Q$154,"Paid",Orders!$R$5:$R$154,"Completed")</f>
        <v>0</v>
      </c>
      <c r="D153" s="14">
        <f>SUMIFS(Orders!$M$5:$M$154,Orders!$B$5:$B$154,$A153,Orders!$Q$5:$Q$154,"Paid",Orders!$R$5:$R$154,"Completed")</f>
        <v>0</v>
      </c>
      <c r="E153" s="14">
        <f>SUMIFS(Orders!$O$5:$O$154,Orders!$B$5:$B$154,$A153,Orders!$Q$5:$Q$154,"Paid",Orders!$R$5:$R$154,"Completed")</f>
        <v>0</v>
      </c>
      <c r="F153" s="14">
        <f>SUMIFS(Expenses!$J$5:$J$104,Expenses!$B$5:$B$104,$A153,Expenses!$L$5:$L$104,"Operating Expense",Expenses!$M$5:$M$104,"Paid")</f>
        <v>0</v>
      </c>
      <c r="G153" s="9">
        <f t="shared" si="16"/>
        <v>0</v>
      </c>
      <c r="H153" s="9">
        <f t="shared" si="17"/>
        <v>0</v>
      </c>
      <c r="I153" s="18">
        <f>SUMIFS(Orders!$U$5:$U$154,Orders!$B$5:$B$154,$A153)</f>
        <v>0</v>
      </c>
      <c r="J153" s="18">
        <f>SUMIFS(Orders!$H$5:$H$154,Orders!$B$5:$B$154,$A153,Orders!$Q$5:$Q$154,"Paid",Orders!$R$5:$R$154,"Completed")</f>
        <v>0</v>
      </c>
      <c r="K153" s="14">
        <f>SUMIFS(Orders!$M$5:$M$154,Orders!$B$5:$B$154,$A153,Orders!$P$5:$P$154,"Cash",Orders!$Q$5:$Q$154,"Paid",Orders!$R$5:$R$154,"Completed")</f>
        <v>0</v>
      </c>
      <c r="L153" s="14">
        <f t="shared" si="18"/>
        <v>0</v>
      </c>
      <c r="M153" s="14">
        <f>SUMIFS(Expenses!$J$5:$J$104,Expenses!$B$5:$B$104,$A153,Expenses!$M$5:$M$104,"Paid")</f>
        <v>0</v>
      </c>
    </row>
    <row r="154" spans="1:13">
      <c r="A154" s="17">
        <f t="shared" si="19"/>
        <v>46353</v>
      </c>
      <c r="B154" s="14">
        <f>SUMIFS(Orders!$K$5:$K$154,Orders!$B$5:$B$154,$A154,Orders!$Q$5:$Q$154,"Paid",Orders!$R$5:$R$154,"Completed")</f>
        <v>0</v>
      </c>
      <c r="C154" s="14">
        <f>SUMIFS(Orders!$L$5:$L$154,Orders!$B$5:$B$154,$A154,Orders!$Q$5:$Q$154,"Paid",Orders!$R$5:$R$154,"Completed")</f>
        <v>0</v>
      </c>
      <c r="D154" s="14">
        <f>SUMIFS(Orders!$M$5:$M$154,Orders!$B$5:$B$154,$A154,Orders!$Q$5:$Q$154,"Paid",Orders!$R$5:$R$154,"Completed")</f>
        <v>0</v>
      </c>
      <c r="E154" s="14">
        <f>SUMIFS(Orders!$O$5:$O$154,Orders!$B$5:$B$154,$A154,Orders!$Q$5:$Q$154,"Paid",Orders!$R$5:$R$154,"Completed")</f>
        <v>0</v>
      </c>
      <c r="F154" s="14">
        <f>SUMIFS(Expenses!$J$5:$J$104,Expenses!$B$5:$B$104,$A154,Expenses!$L$5:$L$104,"Operating Expense",Expenses!$M$5:$M$104,"Paid")</f>
        <v>0</v>
      </c>
      <c r="G154" s="9">
        <f t="shared" si="16"/>
        <v>0</v>
      </c>
      <c r="H154" s="9">
        <f t="shared" si="17"/>
        <v>0</v>
      </c>
      <c r="I154" s="18">
        <f>SUMIFS(Orders!$U$5:$U$154,Orders!$B$5:$B$154,$A154)</f>
        <v>0</v>
      </c>
      <c r="J154" s="18">
        <f>SUMIFS(Orders!$H$5:$H$154,Orders!$B$5:$B$154,$A154,Orders!$Q$5:$Q$154,"Paid",Orders!$R$5:$R$154,"Completed")</f>
        <v>0</v>
      </c>
      <c r="K154" s="14">
        <f>SUMIFS(Orders!$M$5:$M$154,Orders!$B$5:$B$154,$A154,Orders!$P$5:$P$154,"Cash",Orders!$Q$5:$Q$154,"Paid",Orders!$R$5:$R$154,"Completed")</f>
        <v>0</v>
      </c>
      <c r="L154" s="14">
        <f t="shared" si="18"/>
        <v>0</v>
      </c>
      <c r="M154" s="14">
        <f>SUMIFS(Expenses!$J$5:$J$104,Expenses!$B$5:$B$104,$A154,Expenses!$M$5:$M$104,"Paid")</f>
        <v>0</v>
      </c>
    </row>
    <row r="155" spans="1:13">
      <c r="A155" s="17">
        <f t="shared" si="19"/>
        <v>46354</v>
      </c>
      <c r="B155" s="14">
        <f>SUMIFS(Orders!$K$5:$K$154,Orders!$B$5:$B$154,$A155,Orders!$Q$5:$Q$154,"Paid",Orders!$R$5:$R$154,"Completed")</f>
        <v>0</v>
      </c>
      <c r="C155" s="14">
        <f>SUMIFS(Orders!$L$5:$L$154,Orders!$B$5:$B$154,$A155,Orders!$Q$5:$Q$154,"Paid",Orders!$R$5:$R$154,"Completed")</f>
        <v>0</v>
      </c>
      <c r="D155" s="14">
        <f>SUMIFS(Orders!$M$5:$M$154,Orders!$B$5:$B$154,$A155,Orders!$Q$5:$Q$154,"Paid",Orders!$R$5:$R$154,"Completed")</f>
        <v>0</v>
      </c>
      <c r="E155" s="14">
        <f>SUMIFS(Orders!$O$5:$O$154,Orders!$B$5:$B$154,$A155,Orders!$Q$5:$Q$154,"Paid",Orders!$R$5:$R$154,"Completed")</f>
        <v>0</v>
      </c>
      <c r="F155" s="14">
        <f>SUMIFS(Expenses!$J$5:$J$104,Expenses!$B$5:$B$104,$A155,Expenses!$L$5:$L$104,"Operating Expense",Expenses!$M$5:$M$104,"Paid")</f>
        <v>0</v>
      </c>
      <c r="G155" s="9">
        <f t="shared" si="16"/>
        <v>0</v>
      </c>
      <c r="H155" s="9">
        <f t="shared" si="17"/>
        <v>0</v>
      </c>
      <c r="I155" s="18">
        <f>SUMIFS(Orders!$U$5:$U$154,Orders!$B$5:$B$154,$A155)</f>
        <v>0</v>
      </c>
      <c r="J155" s="18">
        <f>SUMIFS(Orders!$H$5:$H$154,Orders!$B$5:$B$154,$A155,Orders!$Q$5:$Q$154,"Paid",Orders!$R$5:$R$154,"Completed")</f>
        <v>0</v>
      </c>
      <c r="K155" s="14">
        <f>SUMIFS(Orders!$M$5:$M$154,Orders!$B$5:$B$154,$A155,Orders!$P$5:$P$154,"Cash",Orders!$Q$5:$Q$154,"Paid",Orders!$R$5:$R$154,"Completed")</f>
        <v>0</v>
      </c>
      <c r="L155" s="14">
        <f t="shared" si="18"/>
        <v>0</v>
      </c>
      <c r="M155" s="14">
        <f>SUMIFS(Expenses!$J$5:$J$104,Expenses!$B$5:$B$104,$A155,Expenses!$M$5:$M$104,"Paid")</f>
        <v>0</v>
      </c>
    </row>
    <row r="156" spans="1:13">
      <c r="A156" s="17">
        <f t="shared" si="19"/>
        <v>46355</v>
      </c>
      <c r="B156" s="14">
        <f>SUMIFS(Orders!$K$5:$K$154,Orders!$B$5:$B$154,$A156,Orders!$Q$5:$Q$154,"Paid",Orders!$R$5:$R$154,"Completed")</f>
        <v>0</v>
      </c>
      <c r="C156" s="14">
        <f>SUMIFS(Orders!$L$5:$L$154,Orders!$B$5:$B$154,$A156,Orders!$Q$5:$Q$154,"Paid",Orders!$R$5:$R$154,"Completed")</f>
        <v>0</v>
      </c>
      <c r="D156" s="14">
        <f>SUMIFS(Orders!$M$5:$M$154,Orders!$B$5:$B$154,$A156,Orders!$Q$5:$Q$154,"Paid",Orders!$R$5:$R$154,"Completed")</f>
        <v>0</v>
      </c>
      <c r="E156" s="14">
        <f>SUMIFS(Orders!$O$5:$O$154,Orders!$B$5:$B$154,$A156,Orders!$Q$5:$Q$154,"Paid",Orders!$R$5:$R$154,"Completed")</f>
        <v>0</v>
      </c>
      <c r="F156" s="14">
        <f>SUMIFS(Expenses!$J$5:$J$104,Expenses!$B$5:$B$104,$A156,Expenses!$L$5:$L$104,"Operating Expense",Expenses!$M$5:$M$104,"Paid")</f>
        <v>0</v>
      </c>
      <c r="G156" s="9">
        <f t="shared" si="16"/>
        <v>0</v>
      </c>
      <c r="H156" s="9">
        <f t="shared" si="17"/>
        <v>0</v>
      </c>
      <c r="I156" s="18">
        <f>SUMIFS(Orders!$U$5:$U$154,Orders!$B$5:$B$154,$A156)</f>
        <v>0</v>
      </c>
      <c r="J156" s="18">
        <f>SUMIFS(Orders!$H$5:$H$154,Orders!$B$5:$B$154,$A156,Orders!$Q$5:$Q$154,"Paid",Orders!$R$5:$R$154,"Completed")</f>
        <v>0</v>
      </c>
      <c r="K156" s="14">
        <f>SUMIFS(Orders!$M$5:$M$154,Orders!$B$5:$B$154,$A156,Orders!$P$5:$P$154,"Cash",Orders!$Q$5:$Q$154,"Paid",Orders!$R$5:$R$154,"Completed")</f>
        <v>0</v>
      </c>
      <c r="L156" s="14">
        <f t="shared" si="18"/>
        <v>0</v>
      </c>
      <c r="M156" s="14">
        <f>SUMIFS(Expenses!$J$5:$J$104,Expenses!$B$5:$B$104,$A156,Expenses!$M$5:$M$104,"Paid")</f>
        <v>0</v>
      </c>
    </row>
    <row r="157" spans="1:13">
      <c r="A157" s="17">
        <f t="shared" si="19"/>
        <v>46356</v>
      </c>
      <c r="B157" s="14">
        <f>SUMIFS(Orders!$K$5:$K$154,Orders!$B$5:$B$154,$A157,Orders!$Q$5:$Q$154,"Paid",Orders!$R$5:$R$154,"Completed")</f>
        <v>0</v>
      </c>
      <c r="C157" s="14">
        <f>SUMIFS(Orders!$L$5:$L$154,Orders!$B$5:$B$154,$A157,Orders!$Q$5:$Q$154,"Paid",Orders!$R$5:$R$154,"Completed")</f>
        <v>0</v>
      </c>
      <c r="D157" s="14">
        <f>SUMIFS(Orders!$M$5:$M$154,Orders!$B$5:$B$154,$A157,Orders!$Q$5:$Q$154,"Paid",Orders!$R$5:$R$154,"Completed")</f>
        <v>0</v>
      </c>
      <c r="E157" s="14">
        <f>SUMIFS(Orders!$O$5:$O$154,Orders!$B$5:$B$154,$A157,Orders!$Q$5:$Q$154,"Paid",Orders!$R$5:$R$154,"Completed")</f>
        <v>0</v>
      </c>
      <c r="F157" s="14">
        <f>SUMIFS(Expenses!$J$5:$J$104,Expenses!$B$5:$B$104,$A157,Expenses!$L$5:$L$104,"Operating Expense",Expenses!$M$5:$M$104,"Paid")</f>
        <v>0</v>
      </c>
      <c r="G157" s="9">
        <f t="shared" si="16"/>
        <v>0</v>
      </c>
      <c r="H157" s="9">
        <f t="shared" si="17"/>
        <v>0</v>
      </c>
      <c r="I157" s="18">
        <f>SUMIFS(Orders!$U$5:$U$154,Orders!$B$5:$B$154,$A157)</f>
        <v>0</v>
      </c>
      <c r="J157" s="18">
        <f>SUMIFS(Orders!$H$5:$H$154,Orders!$B$5:$B$154,$A157,Orders!$Q$5:$Q$154,"Paid",Orders!$R$5:$R$154,"Completed")</f>
        <v>0</v>
      </c>
      <c r="K157" s="14">
        <f>SUMIFS(Orders!$M$5:$M$154,Orders!$B$5:$B$154,$A157,Orders!$P$5:$P$154,"Cash",Orders!$Q$5:$Q$154,"Paid",Orders!$R$5:$R$154,"Completed")</f>
        <v>0</v>
      </c>
      <c r="L157" s="14">
        <f t="shared" si="18"/>
        <v>0</v>
      </c>
      <c r="M157" s="14">
        <f>SUMIFS(Expenses!$J$5:$J$104,Expenses!$B$5:$B$104,$A157,Expenses!$M$5:$M$104,"Paid")</f>
        <v>0</v>
      </c>
    </row>
    <row r="158" spans="1:13">
      <c r="A158" s="17">
        <f t="shared" si="19"/>
        <v>46357</v>
      </c>
      <c r="B158" s="14">
        <f>SUMIFS(Orders!$K$5:$K$154,Orders!$B$5:$B$154,$A158,Orders!$Q$5:$Q$154,"Paid",Orders!$R$5:$R$154,"Completed")</f>
        <v>0</v>
      </c>
      <c r="C158" s="14">
        <f>SUMIFS(Orders!$L$5:$L$154,Orders!$B$5:$B$154,$A158,Orders!$Q$5:$Q$154,"Paid",Orders!$R$5:$R$154,"Completed")</f>
        <v>0</v>
      </c>
      <c r="D158" s="14">
        <f>SUMIFS(Orders!$M$5:$M$154,Orders!$B$5:$B$154,$A158,Orders!$Q$5:$Q$154,"Paid",Orders!$R$5:$R$154,"Completed")</f>
        <v>0</v>
      </c>
      <c r="E158" s="14">
        <f>SUMIFS(Orders!$O$5:$O$154,Orders!$B$5:$B$154,$A158,Orders!$Q$5:$Q$154,"Paid",Orders!$R$5:$R$154,"Completed")</f>
        <v>0</v>
      </c>
      <c r="F158" s="14">
        <f>SUMIFS(Expenses!$J$5:$J$104,Expenses!$B$5:$B$104,$A158,Expenses!$L$5:$L$104,"Operating Expense",Expenses!$M$5:$M$104,"Paid")</f>
        <v>0</v>
      </c>
      <c r="G158" s="9">
        <f t="shared" si="16"/>
        <v>0</v>
      </c>
      <c r="H158" s="9">
        <f t="shared" si="17"/>
        <v>0</v>
      </c>
      <c r="I158" s="18">
        <f>SUMIFS(Orders!$U$5:$U$154,Orders!$B$5:$B$154,$A158)</f>
        <v>0</v>
      </c>
      <c r="J158" s="18">
        <f>SUMIFS(Orders!$H$5:$H$154,Orders!$B$5:$B$154,$A158,Orders!$Q$5:$Q$154,"Paid",Orders!$R$5:$R$154,"Completed")</f>
        <v>0</v>
      </c>
      <c r="K158" s="14">
        <f>SUMIFS(Orders!$M$5:$M$154,Orders!$B$5:$B$154,$A158,Orders!$P$5:$P$154,"Cash",Orders!$Q$5:$Q$154,"Paid",Orders!$R$5:$R$154,"Completed")</f>
        <v>0</v>
      </c>
      <c r="L158" s="14">
        <f t="shared" si="18"/>
        <v>0</v>
      </c>
      <c r="M158" s="14">
        <f>SUMIFS(Expenses!$J$5:$J$104,Expenses!$B$5:$B$104,$A158,Expenses!$M$5:$M$104,"Paid")</f>
        <v>0</v>
      </c>
    </row>
    <row r="159" spans="1:13">
      <c r="A159" s="17">
        <f t="shared" si="19"/>
        <v>46358</v>
      </c>
      <c r="B159" s="14">
        <f>SUMIFS(Orders!$K$5:$K$154,Orders!$B$5:$B$154,$A159,Orders!$Q$5:$Q$154,"Paid",Orders!$R$5:$R$154,"Completed")</f>
        <v>0</v>
      </c>
      <c r="C159" s="14">
        <f>SUMIFS(Orders!$L$5:$L$154,Orders!$B$5:$B$154,$A159,Orders!$Q$5:$Q$154,"Paid",Orders!$R$5:$R$154,"Completed")</f>
        <v>0</v>
      </c>
      <c r="D159" s="14">
        <f>SUMIFS(Orders!$M$5:$M$154,Orders!$B$5:$B$154,$A159,Orders!$Q$5:$Q$154,"Paid",Orders!$R$5:$R$154,"Completed")</f>
        <v>0</v>
      </c>
      <c r="E159" s="14">
        <f>SUMIFS(Orders!$O$5:$O$154,Orders!$B$5:$B$154,$A159,Orders!$Q$5:$Q$154,"Paid",Orders!$R$5:$R$154,"Completed")</f>
        <v>0</v>
      </c>
      <c r="F159" s="14">
        <f>SUMIFS(Expenses!$J$5:$J$104,Expenses!$B$5:$B$104,$A159,Expenses!$L$5:$L$104,"Operating Expense",Expenses!$M$5:$M$104,"Paid")</f>
        <v>0</v>
      </c>
      <c r="G159" s="9">
        <f t="shared" si="16"/>
        <v>0</v>
      </c>
      <c r="H159" s="9">
        <f t="shared" si="17"/>
        <v>0</v>
      </c>
      <c r="I159" s="18">
        <f>SUMIFS(Orders!$U$5:$U$154,Orders!$B$5:$B$154,$A159)</f>
        <v>0</v>
      </c>
      <c r="J159" s="18">
        <f>SUMIFS(Orders!$H$5:$H$154,Orders!$B$5:$B$154,$A159,Orders!$Q$5:$Q$154,"Paid",Orders!$R$5:$R$154,"Completed")</f>
        <v>0</v>
      </c>
      <c r="K159" s="14">
        <f>SUMIFS(Orders!$M$5:$M$154,Orders!$B$5:$B$154,$A159,Orders!$P$5:$P$154,"Cash",Orders!$Q$5:$Q$154,"Paid",Orders!$R$5:$R$154,"Completed")</f>
        <v>0</v>
      </c>
      <c r="L159" s="14">
        <f t="shared" si="18"/>
        <v>0</v>
      </c>
      <c r="M159" s="14">
        <f>SUMIFS(Expenses!$J$5:$J$104,Expenses!$B$5:$B$104,$A159,Expenses!$M$5:$M$104,"Paid")</f>
        <v>0</v>
      </c>
    </row>
    <row r="160" spans="1:13">
      <c r="A160" s="17">
        <f t="shared" si="19"/>
        <v>46359</v>
      </c>
      <c r="B160" s="14">
        <f>SUMIFS(Orders!$K$5:$K$154,Orders!$B$5:$B$154,$A160,Orders!$Q$5:$Q$154,"Paid",Orders!$R$5:$R$154,"Completed")</f>
        <v>0</v>
      </c>
      <c r="C160" s="14">
        <f>SUMIFS(Orders!$L$5:$L$154,Orders!$B$5:$B$154,$A160,Orders!$Q$5:$Q$154,"Paid",Orders!$R$5:$R$154,"Completed")</f>
        <v>0</v>
      </c>
      <c r="D160" s="14">
        <f>SUMIFS(Orders!$M$5:$M$154,Orders!$B$5:$B$154,$A160,Orders!$Q$5:$Q$154,"Paid",Orders!$R$5:$R$154,"Completed")</f>
        <v>0</v>
      </c>
      <c r="E160" s="14">
        <f>SUMIFS(Orders!$O$5:$O$154,Orders!$B$5:$B$154,$A160,Orders!$Q$5:$Q$154,"Paid",Orders!$R$5:$R$154,"Completed")</f>
        <v>0</v>
      </c>
      <c r="F160" s="14">
        <f>SUMIFS(Expenses!$J$5:$J$104,Expenses!$B$5:$B$104,$A160,Expenses!$L$5:$L$104,"Operating Expense",Expenses!$M$5:$M$104,"Paid")</f>
        <v>0</v>
      </c>
      <c r="G160" s="9">
        <f t="shared" si="16"/>
        <v>0</v>
      </c>
      <c r="H160" s="9">
        <f t="shared" si="17"/>
        <v>0</v>
      </c>
      <c r="I160" s="18">
        <f>SUMIFS(Orders!$U$5:$U$154,Orders!$B$5:$B$154,$A160)</f>
        <v>0</v>
      </c>
      <c r="J160" s="18">
        <f>SUMIFS(Orders!$H$5:$H$154,Orders!$B$5:$B$154,$A160,Orders!$Q$5:$Q$154,"Paid",Orders!$R$5:$R$154,"Completed")</f>
        <v>0</v>
      </c>
      <c r="K160" s="14">
        <f>SUMIFS(Orders!$M$5:$M$154,Orders!$B$5:$B$154,$A160,Orders!$P$5:$P$154,"Cash",Orders!$Q$5:$Q$154,"Paid",Orders!$R$5:$R$154,"Completed")</f>
        <v>0</v>
      </c>
      <c r="L160" s="14">
        <f t="shared" si="18"/>
        <v>0</v>
      </c>
      <c r="M160" s="14">
        <f>SUMIFS(Expenses!$J$5:$J$104,Expenses!$B$5:$B$104,$A160,Expenses!$M$5:$M$104,"Paid")</f>
        <v>0</v>
      </c>
    </row>
    <row r="161" spans="1:13">
      <c r="A161" s="17">
        <f t="shared" si="19"/>
        <v>46360</v>
      </c>
      <c r="B161" s="14">
        <f>SUMIFS(Orders!$K$5:$K$154,Orders!$B$5:$B$154,$A161,Orders!$Q$5:$Q$154,"Paid",Orders!$R$5:$R$154,"Completed")</f>
        <v>0</v>
      </c>
      <c r="C161" s="14">
        <f>SUMIFS(Orders!$L$5:$L$154,Orders!$B$5:$B$154,$A161,Orders!$Q$5:$Q$154,"Paid",Orders!$R$5:$R$154,"Completed")</f>
        <v>0</v>
      </c>
      <c r="D161" s="14">
        <f>SUMIFS(Orders!$M$5:$M$154,Orders!$B$5:$B$154,$A161,Orders!$Q$5:$Q$154,"Paid",Orders!$R$5:$R$154,"Completed")</f>
        <v>0</v>
      </c>
      <c r="E161" s="14">
        <f>SUMIFS(Orders!$O$5:$O$154,Orders!$B$5:$B$154,$A161,Orders!$Q$5:$Q$154,"Paid",Orders!$R$5:$R$154,"Completed")</f>
        <v>0</v>
      </c>
      <c r="F161" s="14">
        <f>SUMIFS(Expenses!$J$5:$J$104,Expenses!$B$5:$B$104,$A161,Expenses!$L$5:$L$104,"Operating Expense",Expenses!$M$5:$M$104,"Paid")</f>
        <v>0</v>
      </c>
      <c r="G161" s="9">
        <f t="shared" si="16"/>
        <v>0</v>
      </c>
      <c r="H161" s="9">
        <f t="shared" si="17"/>
        <v>0</v>
      </c>
      <c r="I161" s="18">
        <f>SUMIFS(Orders!$U$5:$U$154,Orders!$B$5:$B$154,$A161)</f>
        <v>0</v>
      </c>
      <c r="J161" s="18">
        <f>SUMIFS(Orders!$H$5:$H$154,Orders!$B$5:$B$154,$A161,Orders!$Q$5:$Q$154,"Paid",Orders!$R$5:$R$154,"Completed")</f>
        <v>0</v>
      </c>
      <c r="K161" s="14">
        <f>SUMIFS(Orders!$M$5:$M$154,Orders!$B$5:$B$154,$A161,Orders!$P$5:$P$154,"Cash",Orders!$Q$5:$Q$154,"Paid",Orders!$R$5:$R$154,"Completed")</f>
        <v>0</v>
      </c>
      <c r="L161" s="14">
        <f t="shared" si="18"/>
        <v>0</v>
      </c>
      <c r="M161" s="14">
        <f>SUMIFS(Expenses!$J$5:$J$104,Expenses!$B$5:$B$104,$A161,Expenses!$M$5:$M$104,"Paid")</f>
        <v>0</v>
      </c>
    </row>
    <row r="162" spans="1:13">
      <c r="A162" s="17">
        <f t="shared" si="19"/>
        <v>46361</v>
      </c>
      <c r="B162" s="14">
        <f>SUMIFS(Orders!$K$5:$K$154,Orders!$B$5:$B$154,$A162,Orders!$Q$5:$Q$154,"Paid",Orders!$R$5:$R$154,"Completed")</f>
        <v>0</v>
      </c>
      <c r="C162" s="14">
        <f>SUMIFS(Orders!$L$5:$L$154,Orders!$B$5:$B$154,$A162,Orders!$Q$5:$Q$154,"Paid",Orders!$R$5:$R$154,"Completed")</f>
        <v>0</v>
      </c>
      <c r="D162" s="14">
        <f>SUMIFS(Orders!$M$5:$M$154,Orders!$B$5:$B$154,$A162,Orders!$Q$5:$Q$154,"Paid",Orders!$R$5:$R$154,"Completed")</f>
        <v>0</v>
      </c>
      <c r="E162" s="14">
        <f>SUMIFS(Orders!$O$5:$O$154,Orders!$B$5:$B$154,$A162,Orders!$Q$5:$Q$154,"Paid",Orders!$R$5:$R$154,"Completed")</f>
        <v>0</v>
      </c>
      <c r="F162" s="14">
        <f>SUMIFS(Expenses!$J$5:$J$104,Expenses!$B$5:$B$104,$A162,Expenses!$L$5:$L$104,"Operating Expense",Expenses!$M$5:$M$104,"Paid")</f>
        <v>0</v>
      </c>
      <c r="G162" s="9">
        <f t="shared" si="16"/>
        <v>0</v>
      </c>
      <c r="H162" s="9">
        <f t="shared" si="17"/>
        <v>0</v>
      </c>
      <c r="I162" s="18">
        <f>SUMIFS(Orders!$U$5:$U$154,Orders!$B$5:$B$154,$A162)</f>
        <v>0</v>
      </c>
      <c r="J162" s="18">
        <f>SUMIFS(Orders!$H$5:$H$154,Orders!$B$5:$B$154,$A162,Orders!$Q$5:$Q$154,"Paid",Orders!$R$5:$R$154,"Completed")</f>
        <v>0</v>
      </c>
      <c r="K162" s="14">
        <f>SUMIFS(Orders!$M$5:$M$154,Orders!$B$5:$B$154,$A162,Orders!$P$5:$P$154,"Cash",Orders!$Q$5:$Q$154,"Paid",Orders!$R$5:$R$154,"Completed")</f>
        <v>0</v>
      </c>
      <c r="L162" s="14">
        <f t="shared" si="18"/>
        <v>0</v>
      </c>
      <c r="M162" s="14">
        <f>SUMIFS(Expenses!$J$5:$J$104,Expenses!$B$5:$B$104,$A162,Expenses!$M$5:$M$104,"Paid")</f>
        <v>0</v>
      </c>
    </row>
    <row r="163" spans="1:13">
      <c r="A163" s="17">
        <f t="shared" si="19"/>
        <v>46362</v>
      </c>
      <c r="B163" s="14">
        <f>SUMIFS(Orders!$K$5:$K$154,Orders!$B$5:$B$154,$A163,Orders!$Q$5:$Q$154,"Paid",Orders!$R$5:$R$154,"Completed")</f>
        <v>0</v>
      </c>
      <c r="C163" s="14">
        <f>SUMIFS(Orders!$L$5:$L$154,Orders!$B$5:$B$154,$A163,Orders!$Q$5:$Q$154,"Paid",Orders!$R$5:$R$154,"Completed")</f>
        <v>0</v>
      </c>
      <c r="D163" s="14">
        <f>SUMIFS(Orders!$M$5:$M$154,Orders!$B$5:$B$154,$A163,Orders!$Q$5:$Q$154,"Paid",Orders!$R$5:$R$154,"Completed")</f>
        <v>0</v>
      </c>
      <c r="E163" s="14">
        <f>SUMIFS(Orders!$O$5:$O$154,Orders!$B$5:$B$154,$A163,Orders!$Q$5:$Q$154,"Paid",Orders!$R$5:$R$154,"Completed")</f>
        <v>0</v>
      </c>
      <c r="F163" s="14">
        <f>SUMIFS(Expenses!$J$5:$J$104,Expenses!$B$5:$B$104,$A163,Expenses!$L$5:$L$104,"Operating Expense",Expenses!$M$5:$M$104,"Paid")</f>
        <v>0</v>
      </c>
      <c r="G163" s="9">
        <f t="shared" si="16"/>
        <v>0</v>
      </c>
      <c r="H163" s="9">
        <f t="shared" si="17"/>
        <v>0</v>
      </c>
      <c r="I163" s="18">
        <f>SUMIFS(Orders!$U$5:$U$154,Orders!$B$5:$B$154,$A163)</f>
        <v>0</v>
      </c>
      <c r="J163" s="18">
        <f>SUMIFS(Orders!$H$5:$H$154,Orders!$B$5:$B$154,$A163,Orders!$Q$5:$Q$154,"Paid",Orders!$R$5:$R$154,"Completed")</f>
        <v>0</v>
      </c>
      <c r="K163" s="14">
        <f>SUMIFS(Orders!$M$5:$M$154,Orders!$B$5:$B$154,$A163,Orders!$P$5:$P$154,"Cash",Orders!$Q$5:$Q$154,"Paid",Orders!$R$5:$R$154,"Completed")</f>
        <v>0</v>
      </c>
      <c r="L163" s="14">
        <f t="shared" si="18"/>
        <v>0</v>
      </c>
      <c r="M163" s="14">
        <f>SUMIFS(Expenses!$J$5:$J$104,Expenses!$B$5:$B$104,$A163,Expenses!$M$5:$M$104,"Paid")</f>
        <v>0</v>
      </c>
    </row>
    <row r="164" spans="1:13">
      <c r="A164" s="17">
        <f t="shared" si="19"/>
        <v>46363</v>
      </c>
      <c r="B164" s="14">
        <f>SUMIFS(Orders!$K$5:$K$154,Orders!$B$5:$B$154,$A164,Orders!$Q$5:$Q$154,"Paid",Orders!$R$5:$R$154,"Completed")</f>
        <v>0</v>
      </c>
      <c r="C164" s="14">
        <f>SUMIFS(Orders!$L$5:$L$154,Orders!$B$5:$B$154,$A164,Orders!$Q$5:$Q$154,"Paid",Orders!$R$5:$R$154,"Completed")</f>
        <v>0</v>
      </c>
      <c r="D164" s="14">
        <f>SUMIFS(Orders!$M$5:$M$154,Orders!$B$5:$B$154,$A164,Orders!$Q$5:$Q$154,"Paid",Orders!$R$5:$R$154,"Completed")</f>
        <v>0</v>
      </c>
      <c r="E164" s="14">
        <f>SUMIFS(Orders!$O$5:$O$154,Orders!$B$5:$B$154,$A164,Orders!$Q$5:$Q$154,"Paid",Orders!$R$5:$R$154,"Completed")</f>
        <v>0</v>
      </c>
      <c r="F164" s="14">
        <f>SUMIFS(Expenses!$J$5:$J$104,Expenses!$B$5:$B$104,$A164,Expenses!$L$5:$L$104,"Operating Expense",Expenses!$M$5:$M$104,"Paid")</f>
        <v>0</v>
      </c>
      <c r="G164" s="9">
        <f t="shared" si="16"/>
        <v>0</v>
      </c>
      <c r="H164" s="9">
        <f t="shared" si="17"/>
        <v>0</v>
      </c>
      <c r="I164" s="18">
        <f>SUMIFS(Orders!$U$5:$U$154,Orders!$B$5:$B$154,$A164)</f>
        <v>0</v>
      </c>
      <c r="J164" s="18">
        <f>SUMIFS(Orders!$H$5:$H$154,Orders!$B$5:$B$154,$A164,Orders!$Q$5:$Q$154,"Paid",Orders!$R$5:$R$154,"Completed")</f>
        <v>0</v>
      </c>
      <c r="K164" s="14">
        <f>SUMIFS(Orders!$M$5:$M$154,Orders!$B$5:$B$154,$A164,Orders!$P$5:$P$154,"Cash",Orders!$Q$5:$Q$154,"Paid",Orders!$R$5:$R$154,"Completed")</f>
        <v>0</v>
      </c>
      <c r="L164" s="14">
        <f t="shared" si="18"/>
        <v>0</v>
      </c>
      <c r="M164" s="14">
        <f>SUMIFS(Expenses!$J$5:$J$104,Expenses!$B$5:$B$104,$A164,Expenses!$M$5:$M$104,"Paid")</f>
        <v>0</v>
      </c>
    </row>
    <row r="165" spans="1:13">
      <c r="A165" s="17">
        <f t="shared" si="19"/>
        <v>46364</v>
      </c>
      <c r="B165" s="14">
        <f>SUMIFS(Orders!$K$5:$K$154,Orders!$B$5:$B$154,$A165,Orders!$Q$5:$Q$154,"Paid",Orders!$R$5:$R$154,"Completed")</f>
        <v>0</v>
      </c>
      <c r="C165" s="14">
        <f>SUMIFS(Orders!$L$5:$L$154,Orders!$B$5:$B$154,$A165,Orders!$Q$5:$Q$154,"Paid",Orders!$R$5:$R$154,"Completed")</f>
        <v>0</v>
      </c>
      <c r="D165" s="14">
        <f>SUMIFS(Orders!$M$5:$M$154,Orders!$B$5:$B$154,$A165,Orders!$Q$5:$Q$154,"Paid",Orders!$R$5:$R$154,"Completed")</f>
        <v>0</v>
      </c>
      <c r="E165" s="14">
        <f>SUMIFS(Orders!$O$5:$O$154,Orders!$B$5:$B$154,$A165,Orders!$Q$5:$Q$154,"Paid",Orders!$R$5:$R$154,"Completed")</f>
        <v>0</v>
      </c>
      <c r="F165" s="14">
        <f>SUMIFS(Expenses!$J$5:$J$104,Expenses!$B$5:$B$104,$A165,Expenses!$L$5:$L$104,"Operating Expense",Expenses!$M$5:$M$104,"Paid")</f>
        <v>0</v>
      </c>
      <c r="G165" s="9">
        <f t="shared" ref="G165:G196" si="20">D165-E165</f>
        <v>0</v>
      </c>
      <c r="H165" s="9">
        <f t="shared" ref="H165:H196" si="21">G165-F165</f>
        <v>0</v>
      </c>
      <c r="I165" s="18">
        <f>SUMIFS(Orders!$U$5:$U$154,Orders!$B$5:$B$154,$A165)</f>
        <v>0</v>
      </c>
      <c r="J165" s="18">
        <f>SUMIFS(Orders!$H$5:$H$154,Orders!$B$5:$B$154,$A165,Orders!$Q$5:$Q$154,"Paid",Orders!$R$5:$R$154,"Completed")</f>
        <v>0</v>
      </c>
      <c r="K165" s="14">
        <f>SUMIFS(Orders!$M$5:$M$154,Orders!$B$5:$B$154,$A165,Orders!$P$5:$P$154,"Cash",Orders!$Q$5:$Q$154,"Paid",Orders!$R$5:$R$154,"Completed")</f>
        <v>0</v>
      </c>
      <c r="L165" s="14">
        <f t="shared" ref="L165:L196" si="22">D165-K165</f>
        <v>0</v>
      </c>
      <c r="M165" s="14">
        <f>SUMIFS(Expenses!$J$5:$J$104,Expenses!$B$5:$B$104,$A165,Expenses!$M$5:$M$104,"Paid")</f>
        <v>0</v>
      </c>
    </row>
    <row r="166" spans="1:13">
      <c r="A166" s="17">
        <f t="shared" ref="A166:A197" si="23">A165+1</f>
        <v>46365</v>
      </c>
      <c r="B166" s="14">
        <f>SUMIFS(Orders!$K$5:$K$154,Orders!$B$5:$B$154,$A166,Orders!$Q$5:$Q$154,"Paid",Orders!$R$5:$R$154,"Completed")</f>
        <v>0</v>
      </c>
      <c r="C166" s="14">
        <f>SUMIFS(Orders!$L$5:$L$154,Orders!$B$5:$B$154,$A166,Orders!$Q$5:$Q$154,"Paid",Orders!$R$5:$R$154,"Completed")</f>
        <v>0</v>
      </c>
      <c r="D166" s="14">
        <f>SUMIFS(Orders!$M$5:$M$154,Orders!$B$5:$B$154,$A166,Orders!$Q$5:$Q$154,"Paid",Orders!$R$5:$R$154,"Completed")</f>
        <v>0</v>
      </c>
      <c r="E166" s="14">
        <f>SUMIFS(Orders!$O$5:$O$154,Orders!$B$5:$B$154,$A166,Orders!$Q$5:$Q$154,"Paid",Orders!$R$5:$R$154,"Completed")</f>
        <v>0</v>
      </c>
      <c r="F166" s="14">
        <f>SUMIFS(Expenses!$J$5:$J$104,Expenses!$B$5:$B$104,$A166,Expenses!$L$5:$L$104,"Operating Expense",Expenses!$M$5:$M$104,"Paid")</f>
        <v>0</v>
      </c>
      <c r="G166" s="9">
        <f t="shared" si="20"/>
        <v>0</v>
      </c>
      <c r="H166" s="9">
        <f t="shared" si="21"/>
        <v>0</v>
      </c>
      <c r="I166" s="18">
        <f>SUMIFS(Orders!$U$5:$U$154,Orders!$B$5:$B$154,$A166)</f>
        <v>0</v>
      </c>
      <c r="J166" s="18">
        <f>SUMIFS(Orders!$H$5:$H$154,Orders!$B$5:$B$154,$A166,Orders!$Q$5:$Q$154,"Paid",Orders!$R$5:$R$154,"Completed")</f>
        <v>0</v>
      </c>
      <c r="K166" s="14">
        <f>SUMIFS(Orders!$M$5:$M$154,Orders!$B$5:$B$154,$A166,Orders!$P$5:$P$154,"Cash",Orders!$Q$5:$Q$154,"Paid",Orders!$R$5:$R$154,"Completed")</f>
        <v>0</v>
      </c>
      <c r="L166" s="14">
        <f t="shared" si="22"/>
        <v>0</v>
      </c>
      <c r="M166" s="14">
        <f>SUMIFS(Expenses!$J$5:$J$104,Expenses!$B$5:$B$104,$A166,Expenses!$M$5:$M$104,"Paid")</f>
        <v>0</v>
      </c>
    </row>
    <row r="167" spans="1:13">
      <c r="A167" s="17">
        <f t="shared" si="23"/>
        <v>46366</v>
      </c>
      <c r="B167" s="14">
        <f>SUMIFS(Orders!$K$5:$K$154,Orders!$B$5:$B$154,$A167,Orders!$Q$5:$Q$154,"Paid",Orders!$R$5:$R$154,"Completed")</f>
        <v>0</v>
      </c>
      <c r="C167" s="14">
        <f>SUMIFS(Orders!$L$5:$L$154,Orders!$B$5:$B$154,$A167,Orders!$Q$5:$Q$154,"Paid",Orders!$R$5:$R$154,"Completed")</f>
        <v>0</v>
      </c>
      <c r="D167" s="14">
        <f>SUMIFS(Orders!$M$5:$M$154,Orders!$B$5:$B$154,$A167,Orders!$Q$5:$Q$154,"Paid",Orders!$R$5:$R$154,"Completed")</f>
        <v>0</v>
      </c>
      <c r="E167" s="14">
        <f>SUMIFS(Orders!$O$5:$O$154,Orders!$B$5:$B$154,$A167,Orders!$Q$5:$Q$154,"Paid",Orders!$R$5:$R$154,"Completed")</f>
        <v>0</v>
      </c>
      <c r="F167" s="14">
        <f>SUMIFS(Expenses!$J$5:$J$104,Expenses!$B$5:$B$104,$A167,Expenses!$L$5:$L$104,"Operating Expense",Expenses!$M$5:$M$104,"Paid")</f>
        <v>0</v>
      </c>
      <c r="G167" s="9">
        <f t="shared" si="20"/>
        <v>0</v>
      </c>
      <c r="H167" s="9">
        <f t="shared" si="21"/>
        <v>0</v>
      </c>
      <c r="I167" s="18">
        <f>SUMIFS(Orders!$U$5:$U$154,Orders!$B$5:$B$154,$A167)</f>
        <v>0</v>
      </c>
      <c r="J167" s="18">
        <f>SUMIFS(Orders!$H$5:$H$154,Orders!$B$5:$B$154,$A167,Orders!$Q$5:$Q$154,"Paid",Orders!$R$5:$R$154,"Completed")</f>
        <v>0</v>
      </c>
      <c r="K167" s="14">
        <f>SUMIFS(Orders!$M$5:$M$154,Orders!$B$5:$B$154,$A167,Orders!$P$5:$P$154,"Cash",Orders!$Q$5:$Q$154,"Paid",Orders!$R$5:$R$154,"Completed")</f>
        <v>0</v>
      </c>
      <c r="L167" s="14">
        <f t="shared" si="22"/>
        <v>0</v>
      </c>
      <c r="M167" s="14">
        <f>SUMIFS(Expenses!$J$5:$J$104,Expenses!$B$5:$B$104,$A167,Expenses!$M$5:$M$104,"Paid")</f>
        <v>0</v>
      </c>
    </row>
    <row r="168" spans="1:13">
      <c r="A168" s="17">
        <f t="shared" si="23"/>
        <v>46367</v>
      </c>
      <c r="B168" s="14">
        <f>SUMIFS(Orders!$K$5:$K$154,Orders!$B$5:$B$154,$A168,Orders!$Q$5:$Q$154,"Paid",Orders!$R$5:$R$154,"Completed")</f>
        <v>0</v>
      </c>
      <c r="C168" s="14">
        <f>SUMIFS(Orders!$L$5:$L$154,Orders!$B$5:$B$154,$A168,Orders!$Q$5:$Q$154,"Paid",Orders!$R$5:$R$154,"Completed")</f>
        <v>0</v>
      </c>
      <c r="D168" s="14">
        <f>SUMIFS(Orders!$M$5:$M$154,Orders!$B$5:$B$154,$A168,Orders!$Q$5:$Q$154,"Paid",Orders!$R$5:$R$154,"Completed")</f>
        <v>0</v>
      </c>
      <c r="E168" s="14">
        <f>SUMIFS(Orders!$O$5:$O$154,Orders!$B$5:$B$154,$A168,Orders!$Q$5:$Q$154,"Paid",Orders!$R$5:$R$154,"Completed")</f>
        <v>0</v>
      </c>
      <c r="F168" s="14">
        <f>SUMIFS(Expenses!$J$5:$J$104,Expenses!$B$5:$B$104,$A168,Expenses!$L$5:$L$104,"Operating Expense",Expenses!$M$5:$M$104,"Paid")</f>
        <v>0</v>
      </c>
      <c r="G168" s="9">
        <f t="shared" si="20"/>
        <v>0</v>
      </c>
      <c r="H168" s="9">
        <f t="shared" si="21"/>
        <v>0</v>
      </c>
      <c r="I168" s="18">
        <f>SUMIFS(Orders!$U$5:$U$154,Orders!$B$5:$B$154,$A168)</f>
        <v>0</v>
      </c>
      <c r="J168" s="18">
        <f>SUMIFS(Orders!$H$5:$H$154,Orders!$B$5:$B$154,$A168,Orders!$Q$5:$Q$154,"Paid",Orders!$R$5:$R$154,"Completed")</f>
        <v>0</v>
      </c>
      <c r="K168" s="14">
        <f>SUMIFS(Orders!$M$5:$M$154,Orders!$B$5:$B$154,$A168,Orders!$P$5:$P$154,"Cash",Orders!$Q$5:$Q$154,"Paid",Orders!$R$5:$R$154,"Completed")</f>
        <v>0</v>
      </c>
      <c r="L168" s="14">
        <f t="shared" si="22"/>
        <v>0</v>
      </c>
      <c r="M168" s="14">
        <f>SUMIFS(Expenses!$J$5:$J$104,Expenses!$B$5:$B$104,$A168,Expenses!$M$5:$M$104,"Paid")</f>
        <v>0</v>
      </c>
    </row>
    <row r="169" spans="1:13">
      <c r="A169" s="17">
        <f t="shared" si="23"/>
        <v>46368</v>
      </c>
      <c r="B169" s="14">
        <f>SUMIFS(Orders!$K$5:$K$154,Orders!$B$5:$B$154,$A169,Orders!$Q$5:$Q$154,"Paid",Orders!$R$5:$R$154,"Completed")</f>
        <v>0</v>
      </c>
      <c r="C169" s="14">
        <f>SUMIFS(Orders!$L$5:$L$154,Orders!$B$5:$B$154,$A169,Orders!$Q$5:$Q$154,"Paid",Orders!$R$5:$R$154,"Completed")</f>
        <v>0</v>
      </c>
      <c r="D169" s="14">
        <f>SUMIFS(Orders!$M$5:$M$154,Orders!$B$5:$B$154,$A169,Orders!$Q$5:$Q$154,"Paid",Orders!$R$5:$R$154,"Completed")</f>
        <v>0</v>
      </c>
      <c r="E169" s="14">
        <f>SUMIFS(Orders!$O$5:$O$154,Orders!$B$5:$B$154,$A169,Orders!$Q$5:$Q$154,"Paid",Orders!$R$5:$R$154,"Completed")</f>
        <v>0</v>
      </c>
      <c r="F169" s="14">
        <f>SUMIFS(Expenses!$J$5:$J$104,Expenses!$B$5:$B$104,$A169,Expenses!$L$5:$L$104,"Operating Expense",Expenses!$M$5:$M$104,"Paid")</f>
        <v>0</v>
      </c>
      <c r="G169" s="9">
        <f t="shared" si="20"/>
        <v>0</v>
      </c>
      <c r="H169" s="9">
        <f t="shared" si="21"/>
        <v>0</v>
      </c>
      <c r="I169" s="18">
        <f>SUMIFS(Orders!$U$5:$U$154,Orders!$B$5:$B$154,$A169)</f>
        <v>0</v>
      </c>
      <c r="J169" s="18">
        <f>SUMIFS(Orders!$H$5:$H$154,Orders!$B$5:$B$154,$A169,Orders!$Q$5:$Q$154,"Paid",Orders!$R$5:$R$154,"Completed")</f>
        <v>0</v>
      </c>
      <c r="K169" s="14">
        <f>SUMIFS(Orders!$M$5:$M$154,Orders!$B$5:$B$154,$A169,Orders!$P$5:$P$154,"Cash",Orders!$Q$5:$Q$154,"Paid",Orders!$R$5:$R$154,"Completed")</f>
        <v>0</v>
      </c>
      <c r="L169" s="14">
        <f t="shared" si="22"/>
        <v>0</v>
      </c>
      <c r="M169" s="14">
        <f>SUMIFS(Expenses!$J$5:$J$104,Expenses!$B$5:$B$104,$A169,Expenses!$M$5:$M$104,"Paid")</f>
        <v>0</v>
      </c>
    </row>
    <row r="170" spans="1:13">
      <c r="A170" s="17">
        <f t="shared" si="23"/>
        <v>46369</v>
      </c>
      <c r="B170" s="14">
        <f>SUMIFS(Orders!$K$5:$K$154,Orders!$B$5:$B$154,$A170,Orders!$Q$5:$Q$154,"Paid",Orders!$R$5:$R$154,"Completed")</f>
        <v>0</v>
      </c>
      <c r="C170" s="14">
        <f>SUMIFS(Orders!$L$5:$L$154,Orders!$B$5:$B$154,$A170,Orders!$Q$5:$Q$154,"Paid",Orders!$R$5:$R$154,"Completed")</f>
        <v>0</v>
      </c>
      <c r="D170" s="14">
        <f>SUMIFS(Orders!$M$5:$M$154,Orders!$B$5:$B$154,$A170,Orders!$Q$5:$Q$154,"Paid",Orders!$R$5:$R$154,"Completed")</f>
        <v>0</v>
      </c>
      <c r="E170" s="14">
        <f>SUMIFS(Orders!$O$5:$O$154,Orders!$B$5:$B$154,$A170,Orders!$Q$5:$Q$154,"Paid",Orders!$R$5:$R$154,"Completed")</f>
        <v>0</v>
      </c>
      <c r="F170" s="14">
        <f>SUMIFS(Expenses!$J$5:$J$104,Expenses!$B$5:$B$104,$A170,Expenses!$L$5:$L$104,"Operating Expense",Expenses!$M$5:$M$104,"Paid")</f>
        <v>0</v>
      </c>
      <c r="G170" s="9">
        <f t="shared" si="20"/>
        <v>0</v>
      </c>
      <c r="H170" s="9">
        <f t="shared" si="21"/>
        <v>0</v>
      </c>
      <c r="I170" s="18">
        <f>SUMIFS(Orders!$U$5:$U$154,Orders!$B$5:$B$154,$A170)</f>
        <v>0</v>
      </c>
      <c r="J170" s="18">
        <f>SUMIFS(Orders!$H$5:$H$154,Orders!$B$5:$B$154,$A170,Orders!$Q$5:$Q$154,"Paid",Orders!$R$5:$R$154,"Completed")</f>
        <v>0</v>
      </c>
      <c r="K170" s="14">
        <f>SUMIFS(Orders!$M$5:$M$154,Orders!$B$5:$B$154,$A170,Orders!$P$5:$P$154,"Cash",Orders!$Q$5:$Q$154,"Paid",Orders!$R$5:$R$154,"Completed")</f>
        <v>0</v>
      </c>
      <c r="L170" s="14">
        <f t="shared" si="22"/>
        <v>0</v>
      </c>
      <c r="M170" s="14">
        <f>SUMIFS(Expenses!$J$5:$J$104,Expenses!$B$5:$B$104,$A170,Expenses!$M$5:$M$104,"Paid")</f>
        <v>0</v>
      </c>
    </row>
    <row r="171" spans="1:13">
      <c r="A171" s="17">
        <f t="shared" si="23"/>
        <v>46370</v>
      </c>
      <c r="B171" s="14">
        <f>SUMIFS(Orders!$K$5:$K$154,Orders!$B$5:$B$154,$A171,Orders!$Q$5:$Q$154,"Paid",Orders!$R$5:$R$154,"Completed")</f>
        <v>0</v>
      </c>
      <c r="C171" s="14">
        <f>SUMIFS(Orders!$L$5:$L$154,Orders!$B$5:$B$154,$A171,Orders!$Q$5:$Q$154,"Paid",Orders!$R$5:$R$154,"Completed")</f>
        <v>0</v>
      </c>
      <c r="D171" s="14">
        <f>SUMIFS(Orders!$M$5:$M$154,Orders!$B$5:$B$154,$A171,Orders!$Q$5:$Q$154,"Paid",Orders!$R$5:$R$154,"Completed")</f>
        <v>0</v>
      </c>
      <c r="E171" s="14">
        <f>SUMIFS(Orders!$O$5:$O$154,Orders!$B$5:$B$154,$A171,Orders!$Q$5:$Q$154,"Paid",Orders!$R$5:$R$154,"Completed")</f>
        <v>0</v>
      </c>
      <c r="F171" s="14">
        <f>SUMIFS(Expenses!$J$5:$J$104,Expenses!$B$5:$B$104,$A171,Expenses!$L$5:$L$104,"Operating Expense",Expenses!$M$5:$M$104,"Paid")</f>
        <v>0</v>
      </c>
      <c r="G171" s="9">
        <f t="shared" si="20"/>
        <v>0</v>
      </c>
      <c r="H171" s="9">
        <f t="shared" si="21"/>
        <v>0</v>
      </c>
      <c r="I171" s="18">
        <f>SUMIFS(Orders!$U$5:$U$154,Orders!$B$5:$B$154,$A171)</f>
        <v>0</v>
      </c>
      <c r="J171" s="18">
        <f>SUMIFS(Orders!$H$5:$H$154,Orders!$B$5:$B$154,$A171,Orders!$Q$5:$Q$154,"Paid",Orders!$R$5:$R$154,"Completed")</f>
        <v>0</v>
      </c>
      <c r="K171" s="14">
        <f>SUMIFS(Orders!$M$5:$M$154,Orders!$B$5:$B$154,$A171,Orders!$P$5:$P$154,"Cash",Orders!$Q$5:$Q$154,"Paid",Orders!$R$5:$R$154,"Completed")</f>
        <v>0</v>
      </c>
      <c r="L171" s="14">
        <f t="shared" si="22"/>
        <v>0</v>
      </c>
      <c r="M171" s="14">
        <f>SUMIFS(Expenses!$J$5:$J$104,Expenses!$B$5:$B$104,$A171,Expenses!$M$5:$M$104,"Paid")</f>
        <v>0</v>
      </c>
    </row>
    <row r="172" spans="1:13">
      <c r="A172" s="17">
        <f t="shared" si="23"/>
        <v>46371</v>
      </c>
      <c r="B172" s="14">
        <f>SUMIFS(Orders!$K$5:$K$154,Orders!$B$5:$B$154,$A172,Orders!$Q$5:$Q$154,"Paid",Orders!$R$5:$R$154,"Completed")</f>
        <v>0</v>
      </c>
      <c r="C172" s="14">
        <f>SUMIFS(Orders!$L$5:$L$154,Orders!$B$5:$B$154,$A172,Orders!$Q$5:$Q$154,"Paid",Orders!$R$5:$R$154,"Completed")</f>
        <v>0</v>
      </c>
      <c r="D172" s="14">
        <f>SUMIFS(Orders!$M$5:$M$154,Orders!$B$5:$B$154,$A172,Orders!$Q$5:$Q$154,"Paid",Orders!$R$5:$R$154,"Completed")</f>
        <v>0</v>
      </c>
      <c r="E172" s="14">
        <f>SUMIFS(Orders!$O$5:$O$154,Orders!$B$5:$B$154,$A172,Orders!$Q$5:$Q$154,"Paid",Orders!$R$5:$R$154,"Completed")</f>
        <v>0</v>
      </c>
      <c r="F172" s="14">
        <f>SUMIFS(Expenses!$J$5:$J$104,Expenses!$B$5:$B$104,$A172,Expenses!$L$5:$L$104,"Operating Expense",Expenses!$M$5:$M$104,"Paid")</f>
        <v>0</v>
      </c>
      <c r="G172" s="9">
        <f t="shared" si="20"/>
        <v>0</v>
      </c>
      <c r="H172" s="9">
        <f t="shared" si="21"/>
        <v>0</v>
      </c>
      <c r="I172" s="18">
        <f>SUMIFS(Orders!$U$5:$U$154,Orders!$B$5:$B$154,$A172)</f>
        <v>0</v>
      </c>
      <c r="J172" s="18">
        <f>SUMIFS(Orders!$H$5:$H$154,Orders!$B$5:$B$154,$A172,Orders!$Q$5:$Q$154,"Paid",Orders!$R$5:$R$154,"Completed")</f>
        <v>0</v>
      </c>
      <c r="K172" s="14">
        <f>SUMIFS(Orders!$M$5:$M$154,Orders!$B$5:$B$154,$A172,Orders!$P$5:$P$154,"Cash",Orders!$Q$5:$Q$154,"Paid",Orders!$R$5:$R$154,"Completed")</f>
        <v>0</v>
      </c>
      <c r="L172" s="14">
        <f t="shared" si="22"/>
        <v>0</v>
      </c>
      <c r="M172" s="14">
        <f>SUMIFS(Expenses!$J$5:$J$104,Expenses!$B$5:$B$104,$A172,Expenses!$M$5:$M$104,"Paid")</f>
        <v>0</v>
      </c>
    </row>
    <row r="173" spans="1:13">
      <c r="A173" s="17">
        <f t="shared" si="23"/>
        <v>46372</v>
      </c>
      <c r="B173" s="14">
        <f>SUMIFS(Orders!$K$5:$K$154,Orders!$B$5:$B$154,$A173,Orders!$Q$5:$Q$154,"Paid",Orders!$R$5:$R$154,"Completed")</f>
        <v>0</v>
      </c>
      <c r="C173" s="14">
        <f>SUMIFS(Orders!$L$5:$L$154,Orders!$B$5:$B$154,$A173,Orders!$Q$5:$Q$154,"Paid",Orders!$R$5:$R$154,"Completed")</f>
        <v>0</v>
      </c>
      <c r="D173" s="14">
        <f>SUMIFS(Orders!$M$5:$M$154,Orders!$B$5:$B$154,$A173,Orders!$Q$5:$Q$154,"Paid",Orders!$R$5:$R$154,"Completed")</f>
        <v>0</v>
      </c>
      <c r="E173" s="14">
        <f>SUMIFS(Orders!$O$5:$O$154,Orders!$B$5:$B$154,$A173,Orders!$Q$5:$Q$154,"Paid",Orders!$R$5:$R$154,"Completed")</f>
        <v>0</v>
      </c>
      <c r="F173" s="14">
        <f>SUMIFS(Expenses!$J$5:$J$104,Expenses!$B$5:$B$104,$A173,Expenses!$L$5:$L$104,"Operating Expense",Expenses!$M$5:$M$104,"Paid")</f>
        <v>0</v>
      </c>
      <c r="G173" s="9">
        <f t="shared" si="20"/>
        <v>0</v>
      </c>
      <c r="H173" s="9">
        <f t="shared" si="21"/>
        <v>0</v>
      </c>
      <c r="I173" s="18">
        <f>SUMIFS(Orders!$U$5:$U$154,Orders!$B$5:$B$154,$A173)</f>
        <v>0</v>
      </c>
      <c r="J173" s="18">
        <f>SUMIFS(Orders!$H$5:$H$154,Orders!$B$5:$B$154,$A173,Orders!$Q$5:$Q$154,"Paid",Orders!$R$5:$R$154,"Completed")</f>
        <v>0</v>
      </c>
      <c r="K173" s="14">
        <f>SUMIFS(Orders!$M$5:$M$154,Orders!$B$5:$B$154,$A173,Orders!$P$5:$P$154,"Cash",Orders!$Q$5:$Q$154,"Paid",Orders!$R$5:$R$154,"Completed")</f>
        <v>0</v>
      </c>
      <c r="L173" s="14">
        <f t="shared" si="22"/>
        <v>0</v>
      </c>
      <c r="M173" s="14">
        <f>SUMIFS(Expenses!$J$5:$J$104,Expenses!$B$5:$B$104,$A173,Expenses!$M$5:$M$104,"Paid")</f>
        <v>0</v>
      </c>
    </row>
    <row r="174" spans="1:13">
      <c r="A174" s="17">
        <f t="shared" si="23"/>
        <v>46373</v>
      </c>
      <c r="B174" s="14">
        <f>SUMIFS(Orders!$K$5:$K$154,Orders!$B$5:$B$154,$A174,Orders!$Q$5:$Q$154,"Paid",Orders!$R$5:$R$154,"Completed")</f>
        <v>0</v>
      </c>
      <c r="C174" s="14">
        <f>SUMIFS(Orders!$L$5:$L$154,Orders!$B$5:$B$154,$A174,Orders!$Q$5:$Q$154,"Paid",Orders!$R$5:$R$154,"Completed")</f>
        <v>0</v>
      </c>
      <c r="D174" s="14">
        <f>SUMIFS(Orders!$M$5:$M$154,Orders!$B$5:$B$154,$A174,Orders!$Q$5:$Q$154,"Paid",Orders!$R$5:$R$154,"Completed")</f>
        <v>0</v>
      </c>
      <c r="E174" s="14">
        <f>SUMIFS(Orders!$O$5:$O$154,Orders!$B$5:$B$154,$A174,Orders!$Q$5:$Q$154,"Paid",Orders!$R$5:$R$154,"Completed")</f>
        <v>0</v>
      </c>
      <c r="F174" s="14">
        <f>SUMIFS(Expenses!$J$5:$J$104,Expenses!$B$5:$B$104,$A174,Expenses!$L$5:$L$104,"Operating Expense",Expenses!$M$5:$M$104,"Paid")</f>
        <v>0</v>
      </c>
      <c r="G174" s="9">
        <f t="shared" si="20"/>
        <v>0</v>
      </c>
      <c r="H174" s="9">
        <f t="shared" si="21"/>
        <v>0</v>
      </c>
      <c r="I174" s="18">
        <f>SUMIFS(Orders!$U$5:$U$154,Orders!$B$5:$B$154,$A174)</f>
        <v>0</v>
      </c>
      <c r="J174" s="18">
        <f>SUMIFS(Orders!$H$5:$H$154,Orders!$B$5:$B$154,$A174,Orders!$Q$5:$Q$154,"Paid",Orders!$R$5:$R$154,"Completed")</f>
        <v>0</v>
      </c>
      <c r="K174" s="14">
        <f>SUMIFS(Orders!$M$5:$M$154,Orders!$B$5:$B$154,$A174,Orders!$P$5:$P$154,"Cash",Orders!$Q$5:$Q$154,"Paid",Orders!$R$5:$R$154,"Completed")</f>
        <v>0</v>
      </c>
      <c r="L174" s="14">
        <f t="shared" si="22"/>
        <v>0</v>
      </c>
      <c r="M174" s="14">
        <f>SUMIFS(Expenses!$J$5:$J$104,Expenses!$B$5:$B$104,$A174,Expenses!$M$5:$M$104,"Paid")</f>
        <v>0</v>
      </c>
    </row>
    <row r="175" spans="1:13">
      <c r="A175" s="17">
        <f t="shared" si="23"/>
        <v>46374</v>
      </c>
      <c r="B175" s="14">
        <f>SUMIFS(Orders!$K$5:$K$154,Orders!$B$5:$B$154,$A175,Orders!$Q$5:$Q$154,"Paid",Orders!$R$5:$R$154,"Completed")</f>
        <v>0</v>
      </c>
      <c r="C175" s="14">
        <f>SUMIFS(Orders!$L$5:$L$154,Orders!$B$5:$B$154,$A175,Orders!$Q$5:$Q$154,"Paid",Orders!$R$5:$R$154,"Completed")</f>
        <v>0</v>
      </c>
      <c r="D175" s="14">
        <f>SUMIFS(Orders!$M$5:$M$154,Orders!$B$5:$B$154,$A175,Orders!$Q$5:$Q$154,"Paid",Orders!$R$5:$R$154,"Completed")</f>
        <v>0</v>
      </c>
      <c r="E175" s="14">
        <f>SUMIFS(Orders!$O$5:$O$154,Orders!$B$5:$B$154,$A175,Orders!$Q$5:$Q$154,"Paid",Orders!$R$5:$R$154,"Completed")</f>
        <v>0</v>
      </c>
      <c r="F175" s="14">
        <f>SUMIFS(Expenses!$J$5:$J$104,Expenses!$B$5:$B$104,$A175,Expenses!$L$5:$L$104,"Operating Expense",Expenses!$M$5:$M$104,"Paid")</f>
        <v>0</v>
      </c>
      <c r="G175" s="9">
        <f t="shared" si="20"/>
        <v>0</v>
      </c>
      <c r="H175" s="9">
        <f t="shared" si="21"/>
        <v>0</v>
      </c>
      <c r="I175" s="18">
        <f>SUMIFS(Orders!$U$5:$U$154,Orders!$B$5:$B$154,$A175)</f>
        <v>0</v>
      </c>
      <c r="J175" s="18">
        <f>SUMIFS(Orders!$H$5:$H$154,Orders!$B$5:$B$154,$A175,Orders!$Q$5:$Q$154,"Paid",Orders!$R$5:$R$154,"Completed")</f>
        <v>0</v>
      </c>
      <c r="K175" s="14">
        <f>SUMIFS(Orders!$M$5:$M$154,Orders!$B$5:$B$154,$A175,Orders!$P$5:$P$154,"Cash",Orders!$Q$5:$Q$154,"Paid",Orders!$R$5:$R$154,"Completed")</f>
        <v>0</v>
      </c>
      <c r="L175" s="14">
        <f t="shared" si="22"/>
        <v>0</v>
      </c>
      <c r="M175" s="14">
        <f>SUMIFS(Expenses!$J$5:$J$104,Expenses!$B$5:$B$104,$A175,Expenses!$M$5:$M$104,"Paid")</f>
        <v>0</v>
      </c>
    </row>
    <row r="176" spans="1:13">
      <c r="A176" s="17">
        <f t="shared" si="23"/>
        <v>46375</v>
      </c>
      <c r="B176" s="14">
        <f>SUMIFS(Orders!$K$5:$K$154,Orders!$B$5:$B$154,$A176,Orders!$Q$5:$Q$154,"Paid",Orders!$R$5:$R$154,"Completed")</f>
        <v>0</v>
      </c>
      <c r="C176" s="14">
        <f>SUMIFS(Orders!$L$5:$L$154,Orders!$B$5:$B$154,$A176,Orders!$Q$5:$Q$154,"Paid",Orders!$R$5:$R$154,"Completed")</f>
        <v>0</v>
      </c>
      <c r="D176" s="14">
        <f>SUMIFS(Orders!$M$5:$M$154,Orders!$B$5:$B$154,$A176,Orders!$Q$5:$Q$154,"Paid",Orders!$R$5:$R$154,"Completed")</f>
        <v>0</v>
      </c>
      <c r="E176" s="14">
        <f>SUMIFS(Orders!$O$5:$O$154,Orders!$B$5:$B$154,$A176,Orders!$Q$5:$Q$154,"Paid",Orders!$R$5:$R$154,"Completed")</f>
        <v>0</v>
      </c>
      <c r="F176" s="14">
        <f>SUMIFS(Expenses!$J$5:$J$104,Expenses!$B$5:$B$104,$A176,Expenses!$L$5:$L$104,"Operating Expense",Expenses!$M$5:$M$104,"Paid")</f>
        <v>0</v>
      </c>
      <c r="G176" s="9">
        <f t="shared" si="20"/>
        <v>0</v>
      </c>
      <c r="H176" s="9">
        <f t="shared" si="21"/>
        <v>0</v>
      </c>
      <c r="I176" s="18">
        <f>SUMIFS(Orders!$U$5:$U$154,Orders!$B$5:$B$154,$A176)</f>
        <v>0</v>
      </c>
      <c r="J176" s="18">
        <f>SUMIFS(Orders!$H$5:$H$154,Orders!$B$5:$B$154,$A176,Orders!$Q$5:$Q$154,"Paid",Orders!$R$5:$R$154,"Completed")</f>
        <v>0</v>
      </c>
      <c r="K176" s="14">
        <f>SUMIFS(Orders!$M$5:$M$154,Orders!$B$5:$B$154,$A176,Orders!$P$5:$P$154,"Cash",Orders!$Q$5:$Q$154,"Paid",Orders!$R$5:$R$154,"Completed")</f>
        <v>0</v>
      </c>
      <c r="L176" s="14">
        <f t="shared" si="22"/>
        <v>0</v>
      </c>
      <c r="M176" s="14">
        <f>SUMIFS(Expenses!$J$5:$J$104,Expenses!$B$5:$B$104,$A176,Expenses!$M$5:$M$104,"Paid")</f>
        <v>0</v>
      </c>
    </row>
    <row r="177" spans="1:13">
      <c r="A177" s="17">
        <f t="shared" si="23"/>
        <v>46376</v>
      </c>
      <c r="B177" s="14">
        <f>SUMIFS(Orders!$K$5:$K$154,Orders!$B$5:$B$154,$A177,Orders!$Q$5:$Q$154,"Paid",Orders!$R$5:$R$154,"Completed")</f>
        <v>0</v>
      </c>
      <c r="C177" s="14">
        <f>SUMIFS(Orders!$L$5:$L$154,Orders!$B$5:$B$154,$A177,Orders!$Q$5:$Q$154,"Paid",Orders!$R$5:$R$154,"Completed")</f>
        <v>0</v>
      </c>
      <c r="D177" s="14">
        <f>SUMIFS(Orders!$M$5:$M$154,Orders!$B$5:$B$154,$A177,Orders!$Q$5:$Q$154,"Paid",Orders!$R$5:$R$154,"Completed")</f>
        <v>0</v>
      </c>
      <c r="E177" s="14">
        <f>SUMIFS(Orders!$O$5:$O$154,Orders!$B$5:$B$154,$A177,Orders!$Q$5:$Q$154,"Paid",Orders!$R$5:$R$154,"Completed")</f>
        <v>0</v>
      </c>
      <c r="F177" s="14">
        <f>SUMIFS(Expenses!$J$5:$J$104,Expenses!$B$5:$B$104,$A177,Expenses!$L$5:$L$104,"Operating Expense",Expenses!$M$5:$M$104,"Paid")</f>
        <v>0</v>
      </c>
      <c r="G177" s="9">
        <f t="shared" si="20"/>
        <v>0</v>
      </c>
      <c r="H177" s="9">
        <f t="shared" si="21"/>
        <v>0</v>
      </c>
      <c r="I177" s="18">
        <f>SUMIFS(Orders!$U$5:$U$154,Orders!$B$5:$B$154,$A177)</f>
        <v>0</v>
      </c>
      <c r="J177" s="18">
        <f>SUMIFS(Orders!$H$5:$H$154,Orders!$B$5:$B$154,$A177,Orders!$Q$5:$Q$154,"Paid",Orders!$R$5:$R$154,"Completed")</f>
        <v>0</v>
      </c>
      <c r="K177" s="14">
        <f>SUMIFS(Orders!$M$5:$M$154,Orders!$B$5:$B$154,$A177,Orders!$P$5:$P$154,"Cash",Orders!$Q$5:$Q$154,"Paid",Orders!$R$5:$R$154,"Completed")</f>
        <v>0</v>
      </c>
      <c r="L177" s="14">
        <f t="shared" si="22"/>
        <v>0</v>
      </c>
      <c r="M177" s="14">
        <f>SUMIFS(Expenses!$J$5:$J$104,Expenses!$B$5:$B$104,$A177,Expenses!$M$5:$M$104,"Paid")</f>
        <v>0</v>
      </c>
    </row>
    <row r="178" spans="1:13">
      <c r="A178" s="17">
        <f t="shared" si="23"/>
        <v>46377</v>
      </c>
      <c r="B178" s="14">
        <f>SUMIFS(Orders!$K$5:$K$154,Orders!$B$5:$B$154,$A178,Orders!$Q$5:$Q$154,"Paid",Orders!$R$5:$R$154,"Completed")</f>
        <v>0</v>
      </c>
      <c r="C178" s="14">
        <f>SUMIFS(Orders!$L$5:$L$154,Orders!$B$5:$B$154,$A178,Orders!$Q$5:$Q$154,"Paid",Orders!$R$5:$R$154,"Completed")</f>
        <v>0</v>
      </c>
      <c r="D178" s="14">
        <f>SUMIFS(Orders!$M$5:$M$154,Orders!$B$5:$B$154,$A178,Orders!$Q$5:$Q$154,"Paid",Orders!$R$5:$R$154,"Completed")</f>
        <v>0</v>
      </c>
      <c r="E178" s="14">
        <f>SUMIFS(Orders!$O$5:$O$154,Orders!$B$5:$B$154,$A178,Orders!$Q$5:$Q$154,"Paid",Orders!$R$5:$R$154,"Completed")</f>
        <v>0</v>
      </c>
      <c r="F178" s="14">
        <f>SUMIFS(Expenses!$J$5:$J$104,Expenses!$B$5:$B$104,$A178,Expenses!$L$5:$L$104,"Operating Expense",Expenses!$M$5:$M$104,"Paid")</f>
        <v>0</v>
      </c>
      <c r="G178" s="9">
        <f t="shared" si="20"/>
        <v>0</v>
      </c>
      <c r="H178" s="9">
        <f t="shared" si="21"/>
        <v>0</v>
      </c>
      <c r="I178" s="18">
        <f>SUMIFS(Orders!$U$5:$U$154,Orders!$B$5:$B$154,$A178)</f>
        <v>0</v>
      </c>
      <c r="J178" s="18">
        <f>SUMIFS(Orders!$H$5:$H$154,Orders!$B$5:$B$154,$A178,Orders!$Q$5:$Q$154,"Paid",Orders!$R$5:$R$154,"Completed")</f>
        <v>0</v>
      </c>
      <c r="K178" s="14">
        <f>SUMIFS(Orders!$M$5:$M$154,Orders!$B$5:$B$154,$A178,Orders!$P$5:$P$154,"Cash",Orders!$Q$5:$Q$154,"Paid",Orders!$R$5:$R$154,"Completed")</f>
        <v>0</v>
      </c>
      <c r="L178" s="14">
        <f t="shared" si="22"/>
        <v>0</v>
      </c>
      <c r="M178" s="14">
        <f>SUMIFS(Expenses!$J$5:$J$104,Expenses!$B$5:$B$104,$A178,Expenses!$M$5:$M$104,"Paid")</f>
        <v>0</v>
      </c>
    </row>
    <row r="179" spans="1:13">
      <c r="A179" s="17">
        <f t="shared" si="23"/>
        <v>46378</v>
      </c>
      <c r="B179" s="14">
        <f>SUMIFS(Orders!$K$5:$K$154,Orders!$B$5:$B$154,$A179,Orders!$Q$5:$Q$154,"Paid",Orders!$R$5:$R$154,"Completed")</f>
        <v>0</v>
      </c>
      <c r="C179" s="14">
        <f>SUMIFS(Orders!$L$5:$L$154,Orders!$B$5:$B$154,$A179,Orders!$Q$5:$Q$154,"Paid",Orders!$R$5:$R$154,"Completed")</f>
        <v>0</v>
      </c>
      <c r="D179" s="14">
        <f>SUMIFS(Orders!$M$5:$M$154,Orders!$B$5:$B$154,$A179,Orders!$Q$5:$Q$154,"Paid",Orders!$R$5:$R$154,"Completed")</f>
        <v>0</v>
      </c>
      <c r="E179" s="14">
        <f>SUMIFS(Orders!$O$5:$O$154,Orders!$B$5:$B$154,$A179,Orders!$Q$5:$Q$154,"Paid",Orders!$R$5:$R$154,"Completed")</f>
        <v>0</v>
      </c>
      <c r="F179" s="14">
        <f>SUMIFS(Expenses!$J$5:$J$104,Expenses!$B$5:$B$104,$A179,Expenses!$L$5:$L$104,"Operating Expense",Expenses!$M$5:$M$104,"Paid")</f>
        <v>0</v>
      </c>
      <c r="G179" s="9">
        <f t="shared" si="20"/>
        <v>0</v>
      </c>
      <c r="H179" s="9">
        <f t="shared" si="21"/>
        <v>0</v>
      </c>
      <c r="I179" s="18">
        <f>SUMIFS(Orders!$U$5:$U$154,Orders!$B$5:$B$154,$A179)</f>
        <v>0</v>
      </c>
      <c r="J179" s="18">
        <f>SUMIFS(Orders!$H$5:$H$154,Orders!$B$5:$B$154,$A179,Orders!$Q$5:$Q$154,"Paid",Orders!$R$5:$R$154,"Completed")</f>
        <v>0</v>
      </c>
      <c r="K179" s="14">
        <f>SUMIFS(Orders!$M$5:$M$154,Orders!$B$5:$B$154,$A179,Orders!$P$5:$P$154,"Cash",Orders!$Q$5:$Q$154,"Paid",Orders!$R$5:$R$154,"Completed")</f>
        <v>0</v>
      </c>
      <c r="L179" s="14">
        <f t="shared" si="22"/>
        <v>0</v>
      </c>
      <c r="M179" s="14">
        <f>SUMIFS(Expenses!$J$5:$J$104,Expenses!$B$5:$B$104,$A179,Expenses!$M$5:$M$104,"Paid")</f>
        <v>0</v>
      </c>
    </row>
    <row r="180" spans="1:13">
      <c r="A180" s="17">
        <f t="shared" si="23"/>
        <v>46379</v>
      </c>
      <c r="B180" s="14">
        <f>SUMIFS(Orders!$K$5:$K$154,Orders!$B$5:$B$154,$A180,Orders!$Q$5:$Q$154,"Paid",Orders!$R$5:$R$154,"Completed")</f>
        <v>0</v>
      </c>
      <c r="C180" s="14">
        <f>SUMIFS(Orders!$L$5:$L$154,Orders!$B$5:$B$154,$A180,Orders!$Q$5:$Q$154,"Paid",Orders!$R$5:$R$154,"Completed")</f>
        <v>0</v>
      </c>
      <c r="D180" s="14">
        <f>SUMIFS(Orders!$M$5:$M$154,Orders!$B$5:$B$154,$A180,Orders!$Q$5:$Q$154,"Paid",Orders!$R$5:$R$154,"Completed")</f>
        <v>0</v>
      </c>
      <c r="E180" s="14">
        <f>SUMIFS(Orders!$O$5:$O$154,Orders!$B$5:$B$154,$A180,Orders!$Q$5:$Q$154,"Paid",Orders!$R$5:$R$154,"Completed")</f>
        <v>0</v>
      </c>
      <c r="F180" s="14">
        <f>SUMIFS(Expenses!$J$5:$J$104,Expenses!$B$5:$B$104,$A180,Expenses!$L$5:$L$104,"Operating Expense",Expenses!$M$5:$M$104,"Paid")</f>
        <v>0</v>
      </c>
      <c r="G180" s="9">
        <f t="shared" si="20"/>
        <v>0</v>
      </c>
      <c r="H180" s="9">
        <f t="shared" si="21"/>
        <v>0</v>
      </c>
      <c r="I180" s="18">
        <f>SUMIFS(Orders!$U$5:$U$154,Orders!$B$5:$B$154,$A180)</f>
        <v>0</v>
      </c>
      <c r="J180" s="18">
        <f>SUMIFS(Orders!$H$5:$H$154,Orders!$B$5:$B$154,$A180,Orders!$Q$5:$Q$154,"Paid",Orders!$R$5:$R$154,"Completed")</f>
        <v>0</v>
      </c>
      <c r="K180" s="14">
        <f>SUMIFS(Orders!$M$5:$M$154,Orders!$B$5:$B$154,$A180,Orders!$P$5:$P$154,"Cash",Orders!$Q$5:$Q$154,"Paid",Orders!$R$5:$R$154,"Completed")</f>
        <v>0</v>
      </c>
      <c r="L180" s="14">
        <f t="shared" si="22"/>
        <v>0</v>
      </c>
      <c r="M180" s="14">
        <f>SUMIFS(Expenses!$J$5:$J$104,Expenses!$B$5:$B$104,$A180,Expenses!$M$5:$M$104,"Paid")</f>
        <v>0</v>
      </c>
    </row>
    <row r="181" spans="1:13">
      <c r="A181" s="17">
        <f t="shared" si="23"/>
        <v>46380</v>
      </c>
      <c r="B181" s="14">
        <f>SUMIFS(Orders!$K$5:$K$154,Orders!$B$5:$B$154,$A181,Orders!$Q$5:$Q$154,"Paid",Orders!$R$5:$R$154,"Completed")</f>
        <v>0</v>
      </c>
      <c r="C181" s="14">
        <f>SUMIFS(Orders!$L$5:$L$154,Orders!$B$5:$B$154,$A181,Orders!$Q$5:$Q$154,"Paid",Orders!$R$5:$R$154,"Completed")</f>
        <v>0</v>
      </c>
      <c r="D181" s="14">
        <f>SUMIFS(Orders!$M$5:$M$154,Orders!$B$5:$B$154,$A181,Orders!$Q$5:$Q$154,"Paid",Orders!$R$5:$R$154,"Completed")</f>
        <v>0</v>
      </c>
      <c r="E181" s="14">
        <f>SUMIFS(Orders!$O$5:$O$154,Orders!$B$5:$B$154,$A181,Orders!$Q$5:$Q$154,"Paid",Orders!$R$5:$R$154,"Completed")</f>
        <v>0</v>
      </c>
      <c r="F181" s="14">
        <f>SUMIFS(Expenses!$J$5:$J$104,Expenses!$B$5:$B$104,$A181,Expenses!$L$5:$L$104,"Operating Expense",Expenses!$M$5:$M$104,"Paid")</f>
        <v>0</v>
      </c>
      <c r="G181" s="9">
        <f t="shared" si="20"/>
        <v>0</v>
      </c>
      <c r="H181" s="9">
        <f t="shared" si="21"/>
        <v>0</v>
      </c>
      <c r="I181" s="18">
        <f>SUMIFS(Orders!$U$5:$U$154,Orders!$B$5:$B$154,$A181)</f>
        <v>0</v>
      </c>
      <c r="J181" s="18">
        <f>SUMIFS(Orders!$H$5:$H$154,Orders!$B$5:$B$154,$A181,Orders!$Q$5:$Q$154,"Paid",Orders!$R$5:$R$154,"Completed")</f>
        <v>0</v>
      </c>
      <c r="K181" s="14">
        <f>SUMIFS(Orders!$M$5:$M$154,Orders!$B$5:$B$154,$A181,Orders!$P$5:$P$154,"Cash",Orders!$Q$5:$Q$154,"Paid",Orders!$R$5:$R$154,"Completed")</f>
        <v>0</v>
      </c>
      <c r="L181" s="14">
        <f t="shared" si="22"/>
        <v>0</v>
      </c>
      <c r="M181" s="14">
        <f>SUMIFS(Expenses!$J$5:$J$104,Expenses!$B$5:$B$104,$A181,Expenses!$M$5:$M$104,"Paid")</f>
        <v>0</v>
      </c>
    </row>
    <row r="182" spans="1:13">
      <c r="A182" s="17">
        <f t="shared" si="23"/>
        <v>46381</v>
      </c>
      <c r="B182" s="14">
        <f>SUMIFS(Orders!$K$5:$K$154,Orders!$B$5:$B$154,$A182,Orders!$Q$5:$Q$154,"Paid",Orders!$R$5:$R$154,"Completed")</f>
        <v>0</v>
      </c>
      <c r="C182" s="14">
        <f>SUMIFS(Orders!$L$5:$L$154,Orders!$B$5:$B$154,$A182,Orders!$Q$5:$Q$154,"Paid",Orders!$R$5:$R$154,"Completed")</f>
        <v>0</v>
      </c>
      <c r="D182" s="14">
        <f>SUMIFS(Orders!$M$5:$M$154,Orders!$B$5:$B$154,$A182,Orders!$Q$5:$Q$154,"Paid",Orders!$R$5:$R$154,"Completed")</f>
        <v>0</v>
      </c>
      <c r="E182" s="14">
        <f>SUMIFS(Orders!$O$5:$O$154,Orders!$B$5:$B$154,$A182,Orders!$Q$5:$Q$154,"Paid",Orders!$R$5:$R$154,"Completed")</f>
        <v>0</v>
      </c>
      <c r="F182" s="14">
        <f>SUMIFS(Expenses!$J$5:$J$104,Expenses!$B$5:$B$104,$A182,Expenses!$L$5:$L$104,"Operating Expense",Expenses!$M$5:$M$104,"Paid")</f>
        <v>0</v>
      </c>
      <c r="G182" s="9">
        <f t="shared" si="20"/>
        <v>0</v>
      </c>
      <c r="H182" s="9">
        <f t="shared" si="21"/>
        <v>0</v>
      </c>
      <c r="I182" s="18">
        <f>SUMIFS(Orders!$U$5:$U$154,Orders!$B$5:$B$154,$A182)</f>
        <v>0</v>
      </c>
      <c r="J182" s="18">
        <f>SUMIFS(Orders!$H$5:$H$154,Orders!$B$5:$B$154,$A182,Orders!$Q$5:$Q$154,"Paid",Orders!$R$5:$R$154,"Completed")</f>
        <v>0</v>
      </c>
      <c r="K182" s="14">
        <f>SUMIFS(Orders!$M$5:$M$154,Orders!$B$5:$B$154,$A182,Orders!$P$5:$P$154,"Cash",Orders!$Q$5:$Q$154,"Paid",Orders!$R$5:$R$154,"Completed")</f>
        <v>0</v>
      </c>
      <c r="L182" s="14">
        <f t="shared" si="22"/>
        <v>0</v>
      </c>
      <c r="M182" s="14">
        <f>SUMIFS(Expenses!$J$5:$J$104,Expenses!$B$5:$B$104,$A182,Expenses!$M$5:$M$104,"Paid")</f>
        <v>0</v>
      </c>
    </row>
    <row r="183" spans="1:13">
      <c r="A183" s="17">
        <f t="shared" si="23"/>
        <v>46382</v>
      </c>
      <c r="B183" s="14">
        <f>SUMIFS(Orders!$K$5:$K$154,Orders!$B$5:$B$154,$A183,Orders!$Q$5:$Q$154,"Paid",Orders!$R$5:$R$154,"Completed")</f>
        <v>0</v>
      </c>
      <c r="C183" s="14">
        <f>SUMIFS(Orders!$L$5:$L$154,Orders!$B$5:$B$154,$A183,Orders!$Q$5:$Q$154,"Paid",Orders!$R$5:$R$154,"Completed")</f>
        <v>0</v>
      </c>
      <c r="D183" s="14">
        <f>SUMIFS(Orders!$M$5:$M$154,Orders!$B$5:$B$154,$A183,Orders!$Q$5:$Q$154,"Paid",Orders!$R$5:$R$154,"Completed")</f>
        <v>0</v>
      </c>
      <c r="E183" s="14">
        <f>SUMIFS(Orders!$O$5:$O$154,Orders!$B$5:$B$154,$A183,Orders!$Q$5:$Q$154,"Paid",Orders!$R$5:$R$154,"Completed")</f>
        <v>0</v>
      </c>
      <c r="F183" s="14">
        <f>SUMIFS(Expenses!$J$5:$J$104,Expenses!$B$5:$B$104,$A183,Expenses!$L$5:$L$104,"Operating Expense",Expenses!$M$5:$M$104,"Paid")</f>
        <v>0</v>
      </c>
      <c r="G183" s="9">
        <f t="shared" si="20"/>
        <v>0</v>
      </c>
      <c r="H183" s="9">
        <f t="shared" si="21"/>
        <v>0</v>
      </c>
      <c r="I183" s="18">
        <f>SUMIFS(Orders!$U$5:$U$154,Orders!$B$5:$B$154,$A183)</f>
        <v>0</v>
      </c>
      <c r="J183" s="18">
        <f>SUMIFS(Orders!$H$5:$H$154,Orders!$B$5:$B$154,$A183,Orders!$Q$5:$Q$154,"Paid",Orders!$R$5:$R$154,"Completed")</f>
        <v>0</v>
      </c>
      <c r="K183" s="14">
        <f>SUMIFS(Orders!$M$5:$M$154,Orders!$B$5:$B$154,$A183,Orders!$P$5:$P$154,"Cash",Orders!$Q$5:$Q$154,"Paid",Orders!$R$5:$R$154,"Completed")</f>
        <v>0</v>
      </c>
      <c r="L183" s="14">
        <f t="shared" si="22"/>
        <v>0</v>
      </c>
      <c r="M183" s="14">
        <f>SUMIFS(Expenses!$J$5:$J$104,Expenses!$B$5:$B$104,$A183,Expenses!$M$5:$M$104,"Paid")</f>
        <v>0</v>
      </c>
    </row>
    <row r="184" spans="1:13">
      <c r="A184" s="17">
        <f t="shared" si="23"/>
        <v>46383</v>
      </c>
      <c r="B184" s="14">
        <f>SUMIFS(Orders!$K$5:$K$154,Orders!$B$5:$B$154,$A184,Orders!$Q$5:$Q$154,"Paid",Orders!$R$5:$R$154,"Completed")</f>
        <v>0</v>
      </c>
      <c r="C184" s="14">
        <f>SUMIFS(Orders!$L$5:$L$154,Orders!$B$5:$B$154,$A184,Orders!$Q$5:$Q$154,"Paid",Orders!$R$5:$R$154,"Completed")</f>
        <v>0</v>
      </c>
      <c r="D184" s="14">
        <f>SUMIFS(Orders!$M$5:$M$154,Orders!$B$5:$B$154,$A184,Orders!$Q$5:$Q$154,"Paid",Orders!$R$5:$R$154,"Completed")</f>
        <v>0</v>
      </c>
      <c r="E184" s="14">
        <f>SUMIFS(Orders!$O$5:$O$154,Orders!$B$5:$B$154,$A184,Orders!$Q$5:$Q$154,"Paid",Orders!$R$5:$R$154,"Completed")</f>
        <v>0</v>
      </c>
      <c r="F184" s="14">
        <f>SUMIFS(Expenses!$J$5:$J$104,Expenses!$B$5:$B$104,$A184,Expenses!$L$5:$L$104,"Operating Expense",Expenses!$M$5:$M$104,"Paid")</f>
        <v>0</v>
      </c>
      <c r="G184" s="9">
        <f t="shared" si="20"/>
        <v>0</v>
      </c>
      <c r="H184" s="9">
        <f t="shared" si="21"/>
        <v>0</v>
      </c>
      <c r="I184" s="18">
        <f>SUMIFS(Orders!$U$5:$U$154,Orders!$B$5:$B$154,$A184)</f>
        <v>0</v>
      </c>
      <c r="J184" s="18">
        <f>SUMIFS(Orders!$H$5:$H$154,Orders!$B$5:$B$154,$A184,Orders!$Q$5:$Q$154,"Paid",Orders!$R$5:$R$154,"Completed")</f>
        <v>0</v>
      </c>
      <c r="K184" s="14">
        <f>SUMIFS(Orders!$M$5:$M$154,Orders!$B$5:$B$154,$A184,Orders!$P$5:$P$154,"Cash",Orders!$Q$5:$Q$154,"Paid",Orders!$R$5:$R$154,"Completed")</f>
        <v>0</v>
      </c>
      <c r="L184" s="14">
        <f t="shared" si="22"/>
        <v>0</v>
      </c>
      <c r="M184" s="14">
        <f>SUMIFS(Expenses!$J$5:$J$104,Expenses!$B$5:$B$104,$A184,Expenses!$M$5:$M$104,"Paid")</f>
        <v>0</v>
      </c>
    </row>
    <row r="185" spans="1:13">
      <c r="A185" s="17">
        <f t="shared" si="23"/>
        <v>46384</v>
      </c>
      <c r="B185" s="14">
        <f>SUMIFS(Orders!$K$5:$K$154,Orders!$B$5:$B$154,$A185,Orders!$Q$5:$Q$154,"Paid",Orders!$R$5:$R$154,"Completed")</f>
        <v>0</v>
      </c>
      <c r="C185" s="14">
        <f>SUMIFS(Orders!$L$5:$L$154,Orders!$B$5:$B$154,$A185,Orders!$Q$5:$Q$154,"Paid",Orders!$R$5:$R$154,"Completed")</f>
        <v>0</v>
      </c>
      <c r="D185" s="14">
        <f>SUMIFS(Orders!$M$5:$M$154,Orders!$B$5:$B$154,$A185,Orders!$Q$5:$Q$154,"Paid",Orders!$R$5:$R$154,"Completed")</f>
        <v>0</v>
      </c>
      <c r="E185" s="14">
        <f>SUMIFS(Orders!$O$5:$O$154,Orders!$B$5:$B$154,$A185,Orders!$Q$5:$Q$154,"Paid",Orders!$R$5:$R$154,"Completed")</f>
        <v>0</v>
      </c>
      <c r="F185" s="14">
        <f>SUMIFS(Expenses!$J$5:$J$104,Expenses!$B$5:$B$104,$A185,Expenses!$L$5:$L$104,"Operating Expense",Expenses!$M$5:$M$104,"Paid")</f>
        <v>0</v>
      </c>
      <c r="G185" s="9">
        <f t="shared" si="20"/>
        <v>0</v>
      </c>
      <c r="H185" s="9">
        <f t="shared" si="21"/>
        <v>0</v>
      </c>
      <c r="I185" s="18">
        <f>SUMIFS(Orders!$U$5:$U$154,Orders!$B$5:$B$154,$A185)</f>
        <v>0</v>
      </c>
      <c r="J185" s="18">
        <f>SUMIFS(Orders!$H$5:$H$154,Orders!$B$5:$B$154,$A185,Orders!$Q$5:$Q$154,"Paid",Orders!$R$5:$R$154,"Completed")</f>
        <v>0</v>
      </c>
      <c r="K185" s="14">
        <f>SUMIFS(Orders!$M$5:$M$154,Orders!$B$5:$B$154,$A185,Orders!$P$5:$P$154,"Cash",Orders!$Q$5:$Q$154,"Paid",Orders!$R$5:$R$154,"Completed")</f>
        <v>0</v>
      </c>
      <c r="L185" s="14">
        <f t="shared" si="22"/>
        <v>0</v>
      </c>
      <c r="M185" s="14">
        <f>SUMIFS(Expenses!$J$5:$J$104,Expenses!$B$5:$B$104,$A185,Expenses!$M$5:$M$104,"Paid")</f>
        <v>0</v>
      </c>
    </row>
    <row r="186" spans="1:13">
      <c r="A186" s="17">
        <f t="shared" si="23"/>
        <v>46385</v>
      </c>
      <c r="B186" s="14">
        <f>SUMIFS(Orders!$K$5:$K$154,Orders!$B$5:$B$154,$A186,Orders!$Q$5:$Q$154,"Paid",Orders!$R$5:$R$154,"Completed")</f>
        <v>0</v>
      </c>
      <c r="C186" s="14">
        <f>SUMIFS(Orders!$L$5:$L$154,Orders!$B$5:$B$154,$A186,Orders!$Q$5:$Q$154,"Paid",Orders!$R$5:$R$154,"Completed")</f>
        <v>0</v>
      </c>
      <c r="D186" s="14">
        <f>SUMIFS(Orders!$M$5:$M$154,Orders!$B$5:$B$154,$A186,Orders!$Q$5:$Q$154,"Paid",Orders!$R$5:$R$154,"Completed")</f>
        <v>0</v>
      </c>
      <c r="E186" s="14">
        <f>SUMIFS(Orders!$O$5:$O$154,Orders!$B$5:$B$154,$A186,Orders!$Q$5:$Q$154,"Paid",Orders!$R$5:$R$154,"Completed")</f>
        <v>0</v>
      </c>
      <c r="F186" s="14">
        <f>SUMIFS(Expenses!$J$5:$J$104,Expenses!$B$5:$B$104,$A186,Expenses!$L$5:$L$104,"Operating Expense",Expenses!$M$5:$M$104,"Paid")</f>
        <v>0</v>
      </c>
      <c r="G186" s="9">
        <f t="shared" si="20"/>
        <v>0</v>
      </c>
      <c r="H186" s="9">
        <f t="shared" si="21"/>
        <v>0</v>
      </c>
      <c r="I186" s="18">
        <f>SUMIFS(Orders!$U$5:$U$154,Orders!$B$5:$B$154,$A186)</f>
        <v>0</v>
      </c>
      <c r="J186" s="18">
        <f>SUMIFS(Orders!$H$5:$H$154,Orders!$B$5:$B$154,$A186,Orders!$Q$5:$Q$154,"Paid",Orders!$R$5:$R$154,"Completed")</f>
        <v>0</v>
      </c>
      <c r="K186" s="14">
        <f>SUMIFS(Orders!$M$5:$M$154,Orders!$B$5:$B$154,$A186,Orders!$P$5:$P$154,"Cash",Orders!$Q$5:$Q$154,"Paid",Orders!$R$5:$R$154,"Completed")</f>
        <v>0</v>
      </c>
      <c r="L186" s="14">
        <f t="shared" si="22"/>
        <v>0</v>
      </c>
      <c r="M186" s="14">
        <f>SUMIFS(Expenses!$J$5:$J$104,Expenses!$B$5:$B$104,$A186,Expenses!$M$5:$M$104,"Paid")</f>
        <v>0</v>
      </c>
    </row>
    <row r="187" spans="1:13">
      <c r="A187" s="17">
        <f t="shared" si="23"/>
        <v>46386</v>
      </c>
      <c r="B187" s="14">
        <f>SUMIFS(Orders!$K$5:$K$154,Orders!$B$5:$B$154,$A187,Orders!$Q$5:$Q$154,"Paid",Orders!$R$5:$R$154,"Completed")</f>
        <v>0</v>
      </c>
      <c r="C187" s="14">
        <f>SUMIFS(Orders!$L$5:$L$154,Orders!$B$5:$B$154,$A187,Orders!$Q$5:$Q$154,"Paid",Orders!$R$5:$R$154,"Completed")</f>
        <v>0</v>
      </c>
      <c r="D187" s="14">
        <f>SUMIFS(Orders!$M$5:$M$154,Orders!$B$5:$B$154,$A187,Orders!$Q$5:$Q$154,"Paid",Orders!$R$5:$R$154,"Completed")</f>
        <v>0</v>
      </c>
      <c r="E187" s="14">
        <f>SUMIFS(Orders!$O$5:$O$154,Orders!$B$5:$B$154,$A187,Orders!$Q$5:$Q$154,"Paid",Orders!$R$5:$R$154,"Completed")</f>
        <v>0</v>
      </c>
      <c r="F187" s="14">
        <f>SUMIFS(Expenses!$J$5:$J$104,Expenses!$B$5:$B$104,$A187,Expenses!$L$5:$L$104,"Operating Expense",Expenses!$M$5:$M$104,"Paid")</f>
        <v>0</v>
      </c>
      <c r="G187" s="9">
        <f t="shared" si="20"/>
        <v>0</v>
      </c>
      <c r="H187" s="9">
        <f t="shared" si="21"/>
        <v>0</v>
      </c>
      <c r="I187" s="18">
        <f>SUMIFS(Orders!$U$5:$U$154,Orders!$B$5:$B$154,$A187)</f>
        <v>0</v>
      </c>
      <c r="J187" s="18">
        <f>SUMIFS(Orders!$H$5:$H$154,Orders!$B$5:$B$154,$A187,Orders!$Q$5:$Q$154,"Paid",Orders!$R$5:$R$154,"Completed")</f>
        <v>0</v>
      </c>
      <c r="K187" s="14">
        <f>SUMIFS(Orders!$M$5:$M$154,Orders!$B$5:$B$154,$A187,Orders!$P$5:$P$154,"Cash",Orders!$Q$5:$Q$154,"Paid",Orders!$R$5:$R$154,"Completed")</f>
        <v>0</v>
      </c>
      <c r="L187" s="14">
        <f t="shared" si="22"/>
        <v>0</v>
      </c>
      <c r="M187" s="14">
        <f>SUMIFS(Expenses!$J$5:$J$104,Expenses!$B$5:$B$104,$A187,Expenses!$M$5:$M$104,"Paid")</f>
        <v>0</v>
      </c>
    </row>
    <row r="188" spans="1:13">
      <c r="A188" s="17">
        <f t="shared" si="23"/>
        <v>46387</v>
      </c>
      <c r="B188" s="14">
        <f>SUMIFS(Orders!$K$5:$K$154,Orders!$B$5:$B$154,$A188,Orders!$Q$5:$Q$154,"Paid",Orders!$R$5:$R$154,"Completed")</f>
        <v>0</v>
      </c>
      <c r="C188" s="14">
        <f>SUMIFS(Orders!$L$5:$L$154,Orders!$B$5:$B$154,$A188,Orders!$Q$5:$Q$154,"Paid",Orders!$R$5:$R$154,"Completed")</f>
        <v>0</v>
      </c>
      <c r="D188" s="14">
        <f>SUMIFS(Orders!$M$5:$M$154,Orders!$B$5:$B$154,$A188,Orders!$Q$5:$Q$154,"Paid",Orders!$R$5:$R$154,"Completed")</f>
        <v>0</v>
      </c>
      <c r="E188" s="14">
        <f>SUMIFS(Orders!$O$5:$O$154,Orders!$B$5:$B$154,$A188,Orders!$Q$5:$Q$154,"Paid",Orders!$R$5:$R$154,"Completed")</f>
        <v>0</v>
      </c>
      <c r="F188" s="14">
        <f>SUMIFS(Expenses!$J$5:$J$104,Expenses!$B$5:$B$104,$A188,Expenses!$L$5:$L$104,"Operating Expense",Expenses!$M$5:$M$104,"Paid")</f>
        <v>0</v>
      </c>
      <c r="G188" s="9">
        <f t="shared" si="20"/>
        <v>0</v>
      </c>
      <c r="H188" s="9">
        <f t="shared" si="21"/>
        <v>0</v>
      </c>
      <c r="I188" s="18">
        <f>SUMIFS(Orders!$U$5:$U$154,Orders!$B$5:$B$154,$A188)</f>
        <v>0</v>
      </c>
      <c r="J188" s="18">
        <f>SUMIFS(Orders!$H$5:$H$154,Orders!$B$5:$B$154,$A188,Orders!$Q$5:$Q$154,"Paid",Orders!$R$5:$R$154,"Completed")</f>
        <v>0</v>
      </c>
      <c r="K188" s="14">
        <f>SUMIFS(Orders!$M$5:$M$154,Orders!$B$5:$B$154,$A188,Orders!$P$5:$P$154,"Cash",Orders!$Q$5:$Q$154,"Paid",Orders!$R$5:$R$154,"Completed")</f>
        <v>0</v>
      </c>
      <c r="L188" s="14">
        <f t="shared" si="22"/>
        <v>0</v>
      </c>
      <c r="M188" s="14">
        <f>SUMIFS(Expenses!$J$5:$J$104,Expenses!$B$5:$B$104,$A188,Expenses!$M$5:$M$104,"Paid")</f>
        <v>0</v>
      </c>
    </row>
    <row r="189" spans="1:13">
      <c r="A189" s="17">
        <f t="shared" si="23"/>
        <v>46388</v>
      </c>
      <c r="B189" s="14">
        <f>SUMIFS(Orders!$K$5:$K$154,Orders!$B$5:$B$154,$A189,Orders!$Q$5:$Q$154,"Paid",Orders!$R$5:$R$154,"Completed")</f>
        <v>0</v>
      </c>
      <c r="C189" s="14">
        <f>SUMIFS(Orders!$L$5:$L$154,Orders!$B$5:$B$154,$A189,Orders!$Q$5:$Q$154,"Paid",Orders!$R$5:$R$154,"Completed")</f>
        <v>0</v>
      </c>
      <c r="D189" s="14">
        <f>SUMIFS(Orders!$M$5:$M$154,Orders!$B$5:$B$154,$A189,Orders!$Q$5:$Q$154,"Paid",Orders!$R$5:$R$154,"Completed")</f>
        <v>0</v>
      </c>
      <c r="E189" s="14">
        <f>SUMIFS(Orders!$O$5:$O$154,Orders!$B$5:$B$154,$A189,Orders!$Q$5:$Q$154,"Paid",Orders!$R$5:$R$154,"Completed")</f>
        <v>0</v>
      </c>
      <c r="F189" s="14">
        <f>SUMIFS(Expenses!$J$5:$J$104,Expenses!$B$5:$B$104,$A189,Expenses!$L$5:$L$104,"Operating Expense",Expenses!$M$5:$M$104,"Paid")</f>
        <v>0</v>
      </c>
      <c r="G189" s="9">
        <f t="shared" si="20"/>
        <v>0</v>
      </c>
      <c r="H189" s="9">
        <f t="shared" si="21"/>
        <v>0</v>
      </c>
      <c r="I189" s="18">
        <f>SUMIFS(Orders!$U$5:$U$154,Orders!$B$5:$B$154,$A189)</f>
        <v>0</v>
      </c>
      <c r="J189" s="18">
        <f>SUMIFS(Orders!$H$5:$H$154,Orders!$B$5:$B$154,$A189,Orders!$Q$5:$Q$154,"Paid",Orders!$R$5:$R$154,"Completed")</f>
        <v>0</v>
      </c>
      <c r="K189" s="14">
        <f>SUMIFS(Orders!$M$5:$M$154,Orders!$B$5:$B$154,$A189,Orders!$P$5:$P$154,"Cash",Orders!$Q$5:$Q$154,"Paid",Orders!$R$5:$R$154,"Completed")</f>
        <v>0</v>
      </c>
      <c r="L189" s="14">
        <f t="shared" si="22"/>
        <v>0</v>
      </c>
      <c r="M189" s="14">
        <f>SUMIFS(Expenses!$J$5:$J$104,Expenses!$B$5:$B$104,$A189,Expenses!$M$5:$M$104,"Paid")</f>
        <v>0</v>
      </c>
    </row>
    <row r="190" spans="1:13">
      <c r="A190" s="17">
        <f t="shared" si="23"/>
        <v>46389</v>
      </c>
      <c r="B190" s="14">
        <f>SUMIFS(Orders!$K$5:$K$154,Orders!$B$5:$B$154,$A190,Orders!$Q$5:$Q$154,"Paid",Orders!$R$5:$R$154,"Completed")</f>
        <v>0</v>
      </c>
      <c r="C190" s="14">
        <f>SUMIFS(Orders!$L$5:$L$154,Orders!$B$5:$B$154,$A190,Orders!$Q$5:$Q$154,"Paid",Orders!$R$5:$R$154,"Completed")</f>
        <v>0</v>
      </c>
      <c r="D190" s="14">
        <f>SUMIFS(Orders!$M$5:$M$154,Orders!$B$5:$B$154,$A190,Orders!$Q$5:$Q$154,"Paid",Orders!$R$5:$R$154,"Completed")</f>
        <v>0</v>
      </c>
      <c r="E190" s="14">
        <f>SUMIFS(Orders!$O$5:$O$154,Orders!$B$5:$B$154,$A190,Orders!$Q$5:$Q$154,"Paid",Orders!$R$5:$R$154,"Completed")</f>
        <v>0</v>
      </c>
      <c r="F190" s="14">
        <f>SUMIFS(Expenses!$J$5:$J$104,Expenses!$B$5:$B$104,$A190,Expenses!$L$5:$L$104,"Operating Expense",Expenses!$M$5:$M$104,"Paid")</f>
        <v>0</v>
      </c>
      <c r="G190" s="9">
        <f t="shared" si="20"/>
        <v>0</v>
      </c>
      <c r="H190" s="9">
        <f t="shared" si="21"/>
        <v>0</v>
      </c>
      <c r="I190" s="18">
        <f>SUMIFS(Orders!$U$5:$U$154,Orders!$B$5:$B$154,$A190)</f>
        <v>0</v>
      </c>
      <c r="J190" s="18">
        <f>SUMIFS(Orders!$H$5:$H$154,Orders!$B$5:$B$154,$A190,Orders!$Q$5:$Q$154,"Paid",Orders!$R$5:$R$154,"Completed")</f>
        <v>0</v>
      </c>
      <c r="K190" s="14">
        <f>SUMIFS(Orders!$M$5:$M$154,Orders!$B$5:$B$154,$A190,Orders!$P$5:$P$154,"Cash",Orders!$Q$5:$Q$154,"Paid",Orders!$R$5:$R$154,"Completed")</f>
        <v>0</v>
      </c>
      <c r="L190" s="14">
        <f t="shared" si="22"/>
        <v>0</v>
      </c>
      <c r="M190" s="14">
        <f>SUMIFS(Expenses!$J$5:$J$104,Expenses!$B$5:$B$104,$A190,Expenses!$M$5:$M$104,"Paid")</f>
        <v>0</v>
      </c>
    </row>
    <row r="191" spans="1:13">
      <c r="A191" s="17">
        <f t="shared" si="23"/>
        <v>46390</v>
      </c>
      <c r="B191" s="14">
        <f>SUMIFS(Orders!$K$5:$K$154,Orders!$B$5:$B$154,$A191,Orders!$Q$5:$Q$154,"Paid",Orders!$R$5:$R$154,"Completed")</f>
        <v>0</v>
      </c>
      <c r="C191" s="14">
        <f>SUMIFS(Orders!$L$5:$L$154,Orders!$B$5:$B$154,$A191,Orders!$Q$5:$Q$154,"Paid",Orders!$R$5:$R$154,"Completed")</f>
        <v>0</v>
      </c>
      <c r="D191" s="14">
        <f>SUMIFS(Orders!$M$5:$M$154,Orders!$B$5:$B$154,$A191,Orders!$Q$5:$Q$154,"Paid",Orders!$R$5:$R$154,"Completed")</f>
        <v>0</v>
      </c>
      <c r="E191" s="14">
        <f>SUMIFS(Orders!$O$5:$O$154,Orders!$B$5:$B$154,$A191,Orders!$Q$5:$Q$154,"Paid",Orders!$R$5:$R$154,"Completed")</f>
        <v>0</v>
      </c>
      <c r="F191" s="14">
        <f>SUMIFS(Expenses!$J$5:$J$104,Expenses!$B$5:$B$104,$A191,Expenses!$L$5:$L$104,"Operating Expense",Expenses!$M$5:$M$104,"Paid")</f>
        <v>0</v>
      </c>
      <c r="G191" s="9">
        <f t="shared" si="20"/>
        <v>0</v>
      </c>
      <c r="H191" s="9">
        <f t="shared" si="21"/>
        <v>0</v>
      </c>
      <c r="I191" s="18">
        <f>SUMIFS(Orders!$U$5:$U$154,Orders!$B$5:$B$154,$A191)</f>
        <v>0</v>
      </c>
      <c r="J191" s="18">
        <f>SUMIFS(Orders!$H$5:$H$154,Orders!$B$5:$B$154,$A191,Orders!$Q$5:$Q$154,"Paid",Orders!$R$5:$R$154,"Completed")</f>
        <v>0</v>
      </c>
      <c r="K191" s="14">
        <f>SUMIFS(Orders!$M$5:$M$154,Orders!$B$5:$B$154,$A191,Orders!$P$5:$P$154,"Cash",Orders!$Q$5:$Q$154,"Paid",Orders!$R$5:$R$154,"Completed")</f>
        <v>0</v>
      </c>
      <c r="L191" s="14">
        <f t="shared" si="22"/>
        <v>0</v>
      </c>
      <c r="M191" s="14">
        <f>SUMIFS(Expenses!$J$5:$J$104,Expenses!$B$5:$B$104,$A191,Expenses!$M$5:$M$104,"Paid")</f>
        <v>0</v>
      </c>
    </row>
    <row r="192" spans="1:13">
      <c r="A192" s="17">
        <f t="shared" si="23"/>
        <v>46391</v>
      </c>
      <c r="B192" s="14">
        <f>SUMIFS(Orders!$K$5:$K$154,Orders!$B$5:$B$154,$A192,Orders!$Q$5:$Q$154,"Paid",Orders!$R$5:$R$154,"Completed")</f>
        <v>0</v>
      </c>
      <c r="C192" s="14">
        <f>SUMIFS(Orders!$L$5:$L$154,Orders!$B$5:$B$154,$A192,Orders!$Q$5:$Q$154,"Paid",Orders!$R$5:$R$154,"Completed")</f>
        <v>0</v>
      </c>
      <c r="D192" s="14">
        <f>SUMIFS(Orders!$M$5:$M$154,Orders!$B$5:$B$154,$A192,Orders!$Q$5:$Q$154,"Paid",Orders!$R$5:$R$154,"Completed")</f>
        <v>0</v>
      </c>
      <c r="E192" s="14">
        <f>SUMIFS(Orders!$O$5:$O$154,Orders!$B$5:$B$154,$A192,Orders!$Q$5:$Q$154,"Paid",Orders!$R$5:$R$154,"Completed")</f>
        <v>0</v>
      </c>
      <c r="F192" s="14">
        <f>SUMIFS(Expenses!$J$5:$J$104,Expenses!$B$5:$B$104,$A192,Expenses!$L$5:$L$104,"Operating Expense",Expenses!$M$5:$M$104,"Paid")</f>
        <v>0</v>
      </c>
      <c r="G192" s="9">
        <f t="shared" si="20"/>
        <v>0</v>
      </c>
      <c r="H192" s="9">
        <f t="shared" si="21"/>
        <v>0</v>
      </c>
      <c r="I192" s="18">
        <f>SUMIFS(Orders!$U$5:$U$154,Orders!$B$5:$B$154,$A192)</f>
        <v>0</v>
      </c>
      <c r="J192" s="18">
        <f>SUMIFS(Orders!$H$5:$H$154,Orders!$B$5:$B$154,$A192,Orders!$Q$5:$Q$154,"Paid",Orders!$R$5:$R$154,"Completed")</f>
        <v>0</v>
      </c>
      <c r="K192" s="14">
        <f>SUMIFS(Orders!$M$5:$M$154,Orders!$B$5:$B$154,$A192,Orders!$P$5:$P$154,"Cash",Orders!$Q$5:$Q$154,"Paid",Orders!$R$5:$R$154,"Completed")</f>
        <v>0</v>
      </c>
      <c r="L192" s="14">
        <f t="shared" si="22"/>
        <v>0</v>
      </c>
      <c r="M192" s="14">
        <f>SUMIFS(Expenses!$J$5:$J$104,Expenses!$B$5:$B$104,$A192,Expenses!$M$5:$M$104,"Paid")</f>
        <v>0</v>
      </c>
    </row>
    <row r="193" spans="1:13">
      <c r="A193" s="17">
        <f t="shared" si="23"/>
        <v>46392</v>
      </c>
      <c r="B193" s="14">
        <f>SUMIFS(Orders!$K$5:$K$154,Orders!$B$5:$B$154,$A193,Orders!$Q$5:$Q$154,"Paid",Orders!$R$5:$R$154,"Completed")</f>
        <v>0</v>
      </c>
      <c r="C193" s="14">
        <f>SUMIFS(Orders!$L$5:$L$154,Orders!$B$5:$B$154,$A193,Orders!$Q$5:$Q$154,"Paid",Orders!$R$5:$R$154,"Completed")</f>
        <v>0</v>
      </c>
      <c r="D193" s="14">
        <f>SUMIFS(Orders!$M$5:$M$154,Orders!$B$5:$B$154,$A193,Orders!$Q$5:$Q$154,"Paid",Orders!$R$5:$R$154,"Completed")</f>
        <v>0</v>
      </c>
      <c r="E193" s="14">
        <f>SUMIFS(Orders!$O$5:$O$154,Orders!$B$5:$B$154,$A193,Orders!$Q$5:$Q$154,"Paid",Orders!$R$5:$R$154,"Completed")</f>
        <v>0</v>
      </c>
      <c r="F193" s="14">
        <f>SUMIFS(Expenses!$J$5:$J$104,Expenses!$B$5:$B$104,$A193,Expenses!$L$5:$L$104,"Operating Expense",Expenses!$M$5:$M$104,"Paid")</f>
        <v>0</v>
      </c>
      <c r="G193" s="9">
        <f t="shared" si="20"/>
        <v>0</v>
      </c>
      <c r="H193" s="9">
        <f t="shared" si="21"/>
        <v>0</v>
      </c>
      <c r="I193" s="18">
        <f>SUMIFS(Orders!$U$5:$U$154,Orders!$B$5:$B$154,$A193)</f>
        <v>0</v>
      </c>
      <c r="J193" s="18">
        <f>SUMIFS(Orders!$H$5:$H$154,Orders!$B$5:$B$154,$A193,Orders!$Q$5:$Q$154,"Paid",Orders!$R$5:$R$154,"Completed")</f>
        <v>0</v>
      </c>
      <c r="K193" s="14">
        <f>SUMIFS(Orders!$M$5:$M$154,Orders!$B$5:$B$154,$A193,Orders!$P$5:$P$154,"Cash",Orders!$Q$5:$Q$154,"Paid",Orders!$R$5:$R$154,"Completed")</f>
        <v>0</v>
      </c>
      <c r="L193" s="14">
        <f t="shared" si="22"/>
        <v>0</v>
      </c>
      <c r="M193" s="14">
        <f>SUMIFS(Expenses!$J$5:$J$104,Expenses!$B$5:$B$104,$A193,Expenses!$M$5:$M$104,"Paid")</f>
        <v>0</v>
      </c>
    </row>
    <row r="194" spans="1:13">
      <c r="A194" s="17">
        <f t="shared" si="23"/>
        <v>46393</v>
      </c>
      <c r="B194" s="14">
        <f>SUMIFS(Orders!$K$5:$K$154,Orders!$B$5:$B$154,$A194,Orders!$Q$5:$Q$154,"Paid",Orders!$R$5:$R$154,"Completed")</f>
        <v>0</v>
      </c>
      <c r="C194" s="14">
        <f>SUMIFS(Orders!$L$5:$L$154,Orders!$B$5:$B$154,$A194,Orders!$Q$5:$Q$154,"Paid",Orders!$R$5:$R$154,"Completed")</f>
        <v>0</v>
      </c>
      <c r="D194" s="14">
        <f>SUMIFS(Orders!$M$5:$M$154,Orders!$B$5:$B$154,$A194,Orders!$Q$5:$Q$154,"Paid",Orders!$R$5:$R$154,"Completed")</f>
        <v>0</v>
      </c>
      <c r="E194" s="14">
        <f>SUMIFS(Orders!$O$5:$O$154,Orders!$B$5:$B$154,$A194,Orders!$Q$5:$Q$154,"Paid",Orders!$R$5:$R$154,"Completed")</f>
        <v>0</v>
      </c>
      <c r="F194" s="14">
        <f>SUMIFS(Expenses!$J$5:$J$104,Expenses!$B$5:$B$104,$A194,Expenses!$L$5:$L$104,"Operating Expense",Expenses!$M$5:$M$104,"Paid")</f>
        <v>0</v>
      </c>
      <c r="G194" s="9">
        <f t="shared" si="20"/>
        <v>0</v>
      </c>
      <c r="H194" s="9">
        <f t="shared" si="21"/>
        <v>0</v>
      </c>
      <c r="I194" s="18">
        <f>SUMIFS(Orders!$U$5:$U$154,Orders!$B$5:$B$154,$A194)</f>
        <v>0</v>
      </c>
      <c r="J194" s="18">
        <f>SUMIFS(Orders!$H$5:$H$154,Orders!$B$5:$B$154,$A194,Orders!$Q$5:$Q$154,"Paid",Orders!$R$5:$R$154,"Completed")</f>
        <v>0</v>
      </c>
      <c r="K194" s="14">
        <f>SUMIFS(Orders!$M$5:$M$154,Orders!$B$5:$B$154,$A194,Orders!$P$5:$P$154,"Cash",Orders!$Q$5:$Q$154,"Paid",Orders!$R$5:$R$154,"Completed")</f>
        <v>0</v>
      </c>
      <c r="L194" s="14">
        <f t="shared" si="22"/>
        <v>0</v>
      </c>
      <c r="M194" s="14">
        <f>SUMIFS(Expenses!$J$5:$J$104,Expenses!$B$5:$B$104,$A194,Expenses!$M$5:$M$104,"Paid")</f>
        <v>0</v>
      </c>
    </row>
    <row r="195" spans="1:13">
      <c r="A195" s="17">
        <f t="shared" si="23"/>
        <v>46394</v>
      </c>
      <c r="B195" s="14">
        <f>SUMIFS(Orders!$K$5:$K$154,Orders!$B$5:$B$154,$A195,Orders!$Q$5:$Q$154,"Paid",Orders!$R$5:$R$154,"Completed")</f>
        <v>0</v>
      </c>
      <c r="C195" s="14">
        <f>SUMIFS(Orders!$L$5:$L$154,Orders!$B$5:$B$154,$A195,Orders!$Q$5:$Q$154,"Paid",Orders!$R$5:$R$154,"Completed")</f>
        <v>0</v>
      </c>
      <c r="D195" s="14">
        <f>SUMIFS(Orders!$M$5:$M$154,Orders!$B$5:$B$154,$A195,Orders!$Q$5:$Q$154,"Paid",Orders!$R$5:$R$154,"Completed")</f>
        <v>0</v>
      </c>
      <c r="E195" s="14">
        <f>SUMIFS(Orders!$O$5:$O$154,Orders!$B$5:$B$154,$A195,Orders!$Q$5:$Q$154,"Paid",Orders!$R$5:$R$154,"Completed")</f>
        <v>0</v>
      </c>
      <c r="F195" s="14">
        <f>SUMIFS(Expenses!$J$5:$J$104,Expenses!$B$5:$B$104,$A195,Expenses!$L$5:$L$104,"Operating Expense",Expenses!$M$5:$M$104,"Paid")</f>
        <v>0</v>
      </c>
      <c r="G195" s="9">
        <f t="shared" si="20"/>
        <v>0</v>
      </c>
      <c r="H195" s="9">
        <f t="shared" si="21"/>
        <v>0</v>
      </c>
      <c r="I195" s="18">
        <f>SUMIFS(Orders!$U$5:$U$154,Orders!$B$5:$B$154,$A195)</f>
        <v>0</v>
      </c>
      <c r="J195" s="18">
        <f>SUMIFS(Orders!$H$5:$H$154,Orders!$B$5:$B$154,$A195,Orders!$Q$5:$Q$154,"Paid",Orders!$R$5:$R$154,"Completed")</f>
        <v>0</v>
      </c>
      <c r="K195" s="14">
        <f>SUMIFS(Orders!$M$5:$M$154,Orders!$B$5:$B$154,$A195,Orders!$P$5:$P$154,"Cash",Orders!$Q$5:$Q$154,"Paid",Orders!$R$5:$R$154,"Completed")</f>
        <v>0</v>
      </c>
      <c r="L195" s="14">
        <f t="shared" si="22"/>
        <v>0</v>
      </c>
      <c r="M195" s="14">
        <f>SUMIFS(Expenses!$J$5:$J$104,Expenses!$B$5:$B$104,$A195,Expenses!$M$5:$M$104,"Paid")</f>
        <v>0</v>
      </c>
    </row>
    <row r="196" spans="1:13">
      <c r="A196" s="17">
        <f t="shared" si="23"/>
        <v>46395</v>
      </c>
      <c r="B196" s="14">
        <f>SUMIFS(Orders!$K$5:$K$154,Orders!$B$5:$B$154,$A196,Orders!$Q$5:$Q$154,"Paid",Orders!$R$5:$R$154,"Completed")</f>
        <v>0</v>
      </c>
      <c r="C196" s="14">
        <f>SUMIFS(Orders!$L$5:$L$154,Orders!$B$5:$B$154,$A196,Orders!$Q$5:$Q$154,"Paid",Orders!$R$5:$R$154,"Completed")</f>
        <v>0</v>
      </c>
      <c r="D196" s="14">
        <f>SUMIFS(Orders!$M$5:$M$154,Orders!$B$5:$B$154,$A196,Orders!$Q$5:$Q$154,"Paid",Orders!$R$5:$R$154,"Completed")</f>
        <v>0</v>
      </c>
      <c r="E196" s="14">
        <f>SUMIFS(Orders!$O$5:$O$154,Orders!$B$5:$B$154,$A196,Orders!$Q$5:$Q$154,"Paid",Orders!$R$5:$R$154,"Completed")</f>
        <v>0</v>
      </c>
      <c r="F196" s="14">
        <f>SUMIFS(Expenses!$J$5:$J$104,Expenses!$B$5:$B$104,$A196,Expenses!$L$5:$L$104,"Operating Expense",Expenses!$M$5:$M$104,"Paid")</f>
        <v>0</v>
      </c>
      <c r="G196" s="9">
        <f t="shared" si="20"/>
        <v>0</v>
      </c>
      <c r="H196" s="9">
        <f t="shared" si="21"/>
        <v>0</v>
      </c>
      <c r="I196" s="18">
        <f>SUMIFS(Orders!$U$5:$U$154,Orders!$B$5:$B$154,$A196)</f>
        <v>0</v>
      </c>
      <c r="J196" s="18">
        <f>SUMIFS(Orders!$H$5:$H$154,Orders!$B$5:$B$154,$A196,Orders!$Q$5:$Q$154,"Paid",Orders!$R$5:$R$154,"Completed")</f>
        <v>0</v>
      </c>
      <c r="K196" s="14">
        <f>SUMIFS(Orders!$M$5:$M$154,Orders!$B$5:$B$154,$A196,Orders!$P$5:$P$154,"Cash",Orders!$Q$5:$Q$154,"Paid",Orders!$R$5:$R$154,"Completed")</f>
        <v>0</v>
      </c>
      <c r="L196" s="14">
        <f t="shared" si="22"/>
        <v>0</v>
      </c>
      <c r="M196" s="14">
        <f>SUMIFS(Expenses!$J$5:$J$104,Expenses!$B$5:$B$104,$A196,Expenses!$M$5:$M$104,"Paid")</f>
        <v>0</v>
      </c>
    </row>
    <row r="197" spans="1:13">
      <c r="A197" s="17">
        <f t="shared" si="23"/>
        <v>46396</v>
      </c>
      <c r="B197" s="14">
        <f>SUMIFS(Orders!$K$5:$K$154,Orders!$B$5:$B$154,$A197,Orders!$Q$5:$Q$154,"Paid",Orders!$R$5:$R$154,"Completed")</f>
        <v>0</v>
      </c>
      <c r="C197" s="14">
        <f>SUMIFS(Orders!$L$5:$L$154,Orders!$B$5:$B$154,$A197,Orders!$Q$5:$Q$154,"Paid",Orders!$R$5:$R$154,"Completed")</f>
        <v>0</v>
      </c>
      <c r="D197" s="14">
        <f>SUMIFS(Orders!$M$5:$M$154,Orders!$B$5:$B$154,$A197,Orders!$Q$5:$Q$154,"Paid",Orders!$R$5:$R$154,"Completed")</f>
        <v>0</v>
      </c>
      <c r="E197" s="14">
        <f>SUMIFS(Orders!$O$5:$O$154,Orders!$B$5:$B$154,$A197,Orders!$Q$5:$Q$154,"Paid",Orders!$R$5:$R$154,"Completed")</f>
        <v>0</v>
      </c>
      <c r="F197" s="14">
        <f>SUMIFS(Expenses!$J$5:$J$104,Expenses!$B$5:$B$104,$A197,Expenses!$L$5:$L$104,"Operating Expense",Expenses!$M$5:$M$104,"Paid")</f>
        <v>0</v>
      </c>
      <c r="G197" s="9">
        <f t="shared" ref="G197:G204" si="24">D197-E197</f>
        <v>0</v>
      </c>
      <c r="H197" s="9">
        <f t="shared" ref="H197:H228" si="25">G197-F197</f>
        <v>0</v>
      </c>
      <c r="I197" s="18">
        <f>SUMIFS(Orders!$U$5:$U$154,Orders!$B$5:$B$154,$A197)</f>
        <v>0</v>
      </c>
      <c r="J197" s="18">
        <f>SUMIFS(Orders!$H$5:$H$154,Orders!$B$5:$B$154,$A197,Orders!$Q$5:$Q$154,"Paid",Orders!$R$5:$R$154,"Completed")</f>
        <v>0</v>
      </c>
      <c r="K197" s="14">
        <f>SUMIFS(Orders!$M$5:$M$154,Orders!$B$5:$B$154,$A197,Orders!$P$5:$P$154,"Cash",Orders!$Q$5:$Q$154,"Paid",Orders!$R$5:$R$154,"Completed")</f>
        <v>0</v>
      </c>
      <c r="L197" s="14">
        <f t="shared" ref="L197:L228" si="26">D197-K197</f>
        <v>0</v>
      </c>
      <c r="M197" s="14">
        <f>SUMIFS(Expenses!$J$5:$J$104,Expenses!$B$5:$B$104,$A197,Expenses!$M$5:$M$104,"Paid")</f>
        <v>0</v>
      </c>
    </row>
    <row r="198" spans="1:13">
      <c r="A198" s="17">
        <f t="shared" ref="A198:A204" si="27">A197+1</f>
        <v>46397</v>
      </c>
      <c r="B198" s="14">
        <f>SUMIFS(Orders!$K$5:$K$154,Orders!$B$5:$B$154,$A198,Orders!$Q$5:$Q$154,"Paid",Orders!$R$5:$R$154,"Completed")</f>
        <v>0</v>
      </c>
      <c r="C198" s="14">
        <f>SUMIFS(Orders!$L$5:$L$154,Orders!$B$5:$B$154,$A198,Orders!$Q$5:$Q$154,"Paid",Orders!$R$5:$R$154,"Completed")</f>
        <v>0</v>
      </c>
      <c r="D198" s="14">
        <f>SUMIFS(Orders!$M$5:$M$154,Orders!$B$5:$B$154,$A198,Orders!$Q$5:$Q$154,"Paid",Orders!$R$5:$R$154,"Completed")</f>
        <v>0</v>
      </c>
      <c r="E198" s="14">
        <f>SUMIFS(Orders!$O$5:$O$154,Orders!$B$5:$B$154,$A198,Orders!$Q$5:$Q$154,"Paid",Orders!$R$5:$R$154,"Completed")</f>
        <v>0</v>
      </c>
      <c r="F198" s="14">
        <f>SUMIFS(Expenses!$J$5:$J$104,Expenses!$B$5:$B$104,$A198,Expenses!$L$5:$L$104,"Operating Expense",Expenses!$M$5:$M$104,"Paid")</f>
        <v>0</v>
      </c>
      <c r="G198" s="9">
        <f t="shared" si="24"/>
        <v>0</v>
      </c>
      <c r="H198" s="9">
        <f t="shared" si="25"/>
        <v>0</v>
      </c>
      <c r="I198" s="18">
        <f>SUMIFS(Orders!$U$5:$U$154,Orders!$B$5:$B$154,$A198)</f>
        <v>0</v>
      </c>
      <c r="J198" s="18">
        <f>SUMIFS(Orders!$H$5:$H$154,Orders!$B$5:$B$154,$A198,Orders!$Q$5:$Q$154,"Paid",Orders!$R$5:$R$154,"Completed")</f>
        <v>0</v>
      </c>
      <c r="K198" s="14">
        <f>SUMIFS(Orders!$M$5:$M$154,Orders!$B$5:$B$154,$A198,Orders!$P$5:$P$154,"Cash",Orders!$Q$5:$Q$154,"Paid",Orders!$R$5:$R$154,"Completed")</f>
        <v>0</v>
      </c>
      <c r="L198" s="14">
        <f t="shared" si="26"/>
        <v>0</v>
      </c>
      <c r="M198" s="14">
        <f>SUMIFS(Expenses!$J$5:$J$104,Expenses!$B$5:$B$104,$A198,Expenses!$M$5:$M$104,"Paid")</f>
        <v>0</v>
      </c>
    </row>
    <row r="199" spans="1:13">
      <c r="A199" s="17">
        <f t="shared" si="27"/>
        <v>46398</v>
      </c>
      <c r="B199" s="14">
        <f>SUMIFS(Orders!$K$5:$K$154,Orders!$B$5:$B$154,$A199,Orders!$Q$5:$Q$154,"Paid",Orders!$R$5:$R$154,"Completed")</f>
        <v>0</v>
      </c>
      <c r="C199" s="14">
        <f>SUMIFS(Orders!$L$5:$L$154,Orders!$B$5:$B$154,$A199,Orders!$Q$5:$Q$154,"Paid",Orders!$R$5:$R$154,"Completed")</f>
        <v>0</v>
      </c>
      <c r="D199" s="14">
        <f>SUMIFS(Orders!$M$5:$M$154,Orders!$B$5:$B$154,$A199,Orders!$Q$5:$Q$154,"Paid",Orders!$R$5:$R$154,"Completed")</f>
        <v>0</v>
      </c>
      <c r="E199" s="14">
        <f>SUMIFS(Orders!$O$5:$O$154,Orders!$B$5:$B$154,$A199,Orders!$Q$5:$Q$154,"Paid",Orders!$R$5:$R$154,"Completed")</f>
        <v>0</v>
      </c>
      <c r="F199" s="14">
        <f>SUMIFS(Expenses!$J$5:$J$104,Expenses!$B$5:$B$104,$A199,Expenses!$L$5:$L$104,"Operating Expense",Expenses!$M$5:$M$104,"Paid")</f>
        <v>0</v>
      </c>
      <c r="G199" s="9">
        <f t="shared" si="24"/>
        <v>0</v>
      </c>
      <c r="H199" s="9">
        <f t="shared" si="25"/>
        <v>0</v>
      </c>
      <c r="I199" s="18">
        <f>SUMIFS(Orders!$U$5:$U$154,Orders!$B$5:$B$154,$A199)</f>
        <v>0</v>
      </c>
      <c r="J199" s="18">
        <f>SUMIFS(Orders!$H$5:$H$154,Orders!$B$5:$B$154,$A199,Orders!$Q$5:$Q$154,"Paid",Orders!$R$5:$R$154,"Completed")</f>
        <v>0</v>
      </c>
      <c r="K199" s="14">
        <f>SUMIFS(Orders!$M$5:$M$154,Orders!$B$5:$B$154,$A199,Orders!$P$5:$P$154,"Cash",Orders!$Q$5:$Q$154,"Paid",Orders!$R$5:$R$154,"Completed")</f>
        <v>0</v>
      </c>
      <c r="L199" s="14">
        <f t="shared" si="26"/>
        <v>0</v>
      </c>
      <c r="M199" s="14">
        <f>SUMIFS(Expenses!$J$5:$J$104,Expenses!$B$5:$B$104,$A199,Expenses!$M$5:$M$104,"Paid")</f>
        <v>0</v>
      </c>
    </row>
    <row r="200" spans="1:13">
      <c r="A200" s="17">
        <f t="shared" si="27"/>
        <v>46399</v>
      </c>
      <c r="B200" s="14">
        <f>SUMIFS(Orders!$K$5:$K$154,Orders!$B$5:$B$154,$A200,Orders!$Q$5:$Q$154,"Paid",Orders!$R$5:$R$154,"Completed")</f>
        <v>0</v>
      </c>
      <c r="C200" s="14">
        <f>SUMIFS(Orders!$L$5:$L$154,Orders!$B$5:$B$154,$A200,Orders!$Q$5:$Q$154,"Paid",Orders!$R$5:$R$154,"Completed")</f>
        <v>0</v>
      </c>
      <c r="D200" s="14">
        <f>SUMIFS(Orders!$M$5:$M$154,Orders!$B$5:$B$154,$A200,Orders!$Q$5:$Q$154,"Paid",Orders!$R$5:$R$154,"Completed")</f>
        <v>0</v>
      </c>
      <c r="E200" s="14">
        <f>SUMIFS(Orders!$O$5:$O$154,Orders!$B$5:$B$154,$A200,Orders!$Q$5:$Q$154,"Paid",Orders!$R$5:$R$154,"Completed")</f>
        <v>0</v>
      </c>
      <c r="F200" s="14">
        <f>SUMIFS(Expenses!$J$5:$J$104,Expenses!$B$5:$B$104,$A200,Expenses!$L$5:$L$104,"Operating Expense",Expenses!$M$5:$M$104,"Paid")</f>
        <v>0</v>
      </c>
      <c r="G200" s="9">
        <f t="shared" si="24"/>
        <v>0</v>
      </c>
      <c r="H200" s="9">
        <f t="shared" si="25"/>
        <v>0</v>
      </c>
      <c r="I200" s="18">
        <f>SUMIFS(Orders!$U$5:$U$154,Orders!$B$5:$B$154,$A200)</f>
        <v>0</v>
      </c>
      <c r="J200" s="18">
        <f>SUMIFS(Orders!$H$5:$H$154,Orders!$B$5:$B$154,$A200,Orders!$Q$5:$Q$154,"Paid",Orders!$R$5:$R$154,"Completed")</f>
        <v>0</v>
      </c>
      <c r="K200" s="14">
        <f>SUMIFS(Orders!$M$5:$M$154,Orders!$B$5:$B$154,$A200,Orders!$P$5:$P$154,"Cash",Orders!$Q$5:$Q$154,"Paid",Orders!$R$5:$R$154,"Completed")</f>
        <v>0</v>
      </c>
      <c r="L200" s="14">
        <f t="shared" si="26"/>
        <v>0</v>
      </c>
      <c r="M200" s="14">
        <f>SUMIFS(Expenses!$J$5:$J$104,Expenses!$B$5:$B$104,$A200,Expenses!$M$5:$M$104,"Paid")</f>
        <v>0</v>
      </c>
    </row>
    <row r="201" spans="1:13">
      <c r="A201" s="17">
        <f t="shared" si="27"/>
        <v>46400</v>
      </c>
      <c r="B201" s="14">
        <f>SUMIFS(Orders!$K$5:$K$154,Orders!$B$5:$B$154,$A201,Orders!$Q$5:$Q$154,"Paid",Orders!$R$5:$R$154,"Completed")</f>
        <v>0</v>
      </c>
      <c r="C201" s="14">
        <f>SUMIFS(Orders!$L$5:$L$154,Orders!$B$5:$B$154,$A201,Orders!$Q$5:$Q$154,"Paid",Orders!$R$5:$R$154,"Completed")</f>
        <v>0</v>
      </c>
      <c r="D201" s="14">
        <f>SUMIFS(Orders!$M$5:$M$154,Orders!$B$5:$B$154,$A201,Orders!$Q$5:$Q$154,"Paid",Orders!$R$5:$R$154,"Completed")</f>
        <v>0</v>
      </c>
      <c r="E201" s="14">
        <f>SUMIFS(Orders!$O$5:$O$154,Orders!$B$5:$B$154,$A201,Orders!$Q$5:$Q$154,"Paid",Orders!$R$5:$R$154,"Completed")</f>
        <v>0</v>
      </c>
      <c r="F201" s="14">
        <f>SUMIFS(Expenses!$J$5:$J$104,Expenses!$B$5:$B$104,$A201,Expenses!$L$5:$L$104,"Operating Expense",Expenses!$M$5:$M$104,"Paid")</f>
        <v>0</v>
      </c>
      <c r="G201" s="9">
        <f t="shared" si="24"/>
        <v>0</v>
      </c>
      <c r="H201" s="9">
        <f t="shared" si="25"/>
        <v>0</v>
      </c>
      <c r="I201" s="18">
        <f>SUMIFS(Orders!$U$5:$U$154,Orders!$B$5:$B$154,$A201)</f>
        <v>0</v>
      </c>
      <c r="J201" s="18">
        <f>SUMIFS(Orders!$H$5:$H$154,Orders!$B$5:$B$154,$A201,Orders!$Q$5:$Q$154,"Paid",Orders!$R$5:$R$154,"Completed")</f>
        <v>0</v>
      </c>
      <c r="K201" s="14">
        <f>SUMIFS(Orders!$M$5:$M$154,Orders!$B$5:$B$154,$A201,Orders!$P$5:$P$154,"Cash",Orders!$Q$5:$Q$154,"Paid",Orders!$R$5:$R$154,"Completed")</f>
        <v>0</v>
      </c>
      <c r="L201" s="14">
        <f t="shared" si="26"/>
        <v>0</v>
      </c>
      <c r="M201" s="14">
        <f>SUMIFS(Expenses!$J$5:$J$104,Expenses!$B$5:$B$104,$A201,Expenses!$M$5:$M$104,"Paid")</f>
        <v>0</v>
      </c>
    </row>
    <row r="202" spans="1:13">
      <c r="A202" s="17">
        <f t="shared" si="27"/>
        <v>46401</v>
      </c>
      <c r="B202" s="14">
        <f>SUMIFS(Orders!$K$5:$K$154,Orders!$B$5:$B$154,$A202,Orders!$Q$5:$Q$154,"Paid",Orders!$R$5:$R$154,"Completed")</f>
        <v>0</v>
      </c>
      <c r="C202" s="14">
        <f>SUMIFS(Orders!$L$5:$L$154,Orders!$B$5:$B$154,$A202,Orders!$Q$5:$Q$154,"Paid",Orders!$R$5:$R$154,"Completed")</f>
        <v>0</v>
      </c>
      <c r="D202" s="14">
        <f>SUMIFS(Orders!$M$5:$M$154,Orders!$B$5:$B$154,$A202,Orders!$Q$5:$Q$154,"Paid",Orders!$R$5:$R$154,"Completed")</f>
        <v>0</v>
      </c>
      <c r="E202" s="14">
        <f>SUMIFS(Orders!$O$5:$O$154,Orders!$B$5:$B$154,$A202,Orders!$Q$5:$Q$154,"Paid",Orders!$R$5:$R$154,"Completed")</f>
        <v>0</v>
      </c>
      <c r="F202" s="14">
        <f>SUMIFS(Expenses!$J$5:$J$104,Expenses!$B$5:$B$104,$A202,Expenses!$L$5:$L$104,"Operating Expense",Expenses!$M$5:$M$104,"Paid")</f>
        <v>0</v>
      </c>
      <c r="G202" s="9">
        <f t="shared" si="24"/>
        <v>0</v>
      </c>
      <c r="H202" s="9">
        <f t="shared" si="25"/>
        <v>0</v>
      </c>
      <c r="I202" s="18">
        <f>SUMIFS(Orders!$U$5:$U$154,Orders!$B$5:$B$154,$A202)</f>
        <v>0</v>
      </c>
      <c r="J202" s="18">
        <f>SUMIFS(Orders!$H$5:$H$154,Orders!$B$5:$B$154,$A202,Orders!$Q$5:$Q$154,"Paid",Orders!$R$5:$R$154,"Completed")</f>
        <v>0</v>
      </c>
      <c r="K202" s="14">
        <f>SUMIFS(Orders!$M$5:$M$154,Orders!$B$5:$B$154,$A202,Orders!$P$5:$P$154,"Cash",Orders!$Q$5:$Q$154,"Paid",Orders!$R$5:$R$154,"Completed")</f>
        <v>0</v>
      </c>
      <c r="L202" s="14">
        <f t="shared" si="26"/>
        <v>0</v>
      </c>
      <c r="M202" s="14">
        <f>SUMIFS(Expenses!$J$5:$J$104,Expenses!$B$5:$B$104,$A202,Expenses!$M$5:$M$104,"Paid")</f>
        <v>0</v>
      </c>
    </row>
    <row r="203" spans="1:13">
      <c r="A203" s="17">
        <f t="shared" si="27"/>
        <v>46402</v>
      </c>
      <c r="B203" s="14">
        <f>SUMIFS(Orders!$K$5:$K$154,Orders!$B$5:$B$154,$A203,Orders!$Q$5:$Q$154,"Paid",Orders!$R$5:$R$154,"Completed")</f>
        <v>0</v>
      </c>
      <c r="C203" s="14">
        <f>SUMIFS(Orders!$L$5:$L$154,Orders!$B$5:$B$154,$A203,Orders!$Q$5:$Q$154,"Paid",Orders!$R$5:$R$154,"Completed")</f>
        <v>0</v>
      </c>
      <c r="D203" s="14">
        <f>SUMIFS(Orders!$M$5:$M$154,Orders!$B$5:$B$154,$A203,Orders!$Q$5:$Q$154,"Paid",Orders!$R$5:$R$154,"Completed")</f>
        <v>0</v>
      </c>
      <c r="E203" s="14">
        <f>SUMIFS(Orders!$O$5:$O$154,Orders!$B$5:$B$154,$A203,Orders!$Q$5:$Q$154,"Paid",Orders!$R$5:$R$154,"Completed")</f>
        <v>0</v>
      </c>
      <c r="F203" s="14">
        <f>SUMIFS(Expenses!$J$5:$J$104,Expenses!$B$5:$B$104,$A203,Expenses!$L$5:$L$104,"Operating Expense",Expenses!$M$5:$M$104,"Paid")</f>
        <v>0</v>
      </c>
      <c r="G203" s="9">
        <f t="shared" si="24"/>
        <v>0</v>
      </c>
      <c r="H203" s="9">
        <f t="shared" si="25"/>
        <v>0</v>
      </c>
      <c r="I203" s="18">
        <f>SUMIFS(Orders!$U$5:$U$154,Orders!$B$5:$B$154,$A203)</f>
        <v>0</v>
      </c>
      <c r="J203" s="18">
        <f>SUMIFS(Orders!$H$5:$H$154,Orders!$B$5:$B$154,$A203,Orders!$Q$5:$Q$154,"Paid",Orders!$R$5:$R$154,"Completed")</f>
        <v>0</v>
      </c>
      <c r="K203" s="14">
        <f>SUMIFS(Orders!$M$5:$M$154,Orders!$B$5:$B$154,$A203,Orders!$P$5:$P$154,"Cash",Orders!$Q$5:$Q$154,"Paid",Orders!$R$5:$R$154,"Completed")</f>
        <v>0</v>
      </c>
      <c r="L203" s="14">
        <f t="shared" si="26"/>
        <v>0</v>
      </c>
      <c r="M203" s="14">
        <f>SUMIFS(Expenses!$J$5:$J$104,Expenses!$B$5:$B$104,$A203,Expenses!$M$5:$M$104,"Paid")</f>
        <v>0</v>
      </c>
    </row>
    <row r="204" spans="1:13">
      <c r="A204" s="17">
        <f t="shared" si="27"/>
        <v>46403</v>
      </c>
      <c r="B204" s="14">
        <f>SUMIFS(Orders!$K$5:$K$154,Orders!$B$5:$B$154,$A204,Orders!$Q$5:$Q$154,"Paid",Orders!$R$5:$R$154,"Completed")</f>
        <v>0</v>
      </c>
      <c r="C204" s="14">
        <f>SUMIFS(Orders!$L$5:$L$154,Orders!$B$5:$B$154,$A204,Orders!$Q$5:$Q$154,"Paid",Orders!$R$5:$R$154,"Completed")</f>
        <v>0</v>
      </c>
      <c r="D204" s="14">
        <f>SUMIFS(Orders!$M$5:$M$154,Orders!$B$5:$B$154,$A204,Orders!$Q$5:$Q$154,"Paid",Orders!$R$5:$R$154,"Completed")</f>
        <v>0</v>
      </c>
      <c r="E204" s="14">
        <f>SUMIFS(Orders!$O$5:$O$154,Orders!$B$5:$B$154,$A204,Orders!$Q$5:$Q$154,"Paid",Orders!$R$5:$R$154,"Completed")</f>
        <v>0</v>
      </c>
      <c r="F204" s="14">
        <f>SUMIFS(Expenses!$J$5:$J$104,Expenses!$B$5:$B$104,$A204,Expenses!$L$5:$L$104,"Operating Expense",Expenses!$M$5:$M$104,"Paid")</f>
        <v>0</v>
      </c>
      <c r="G204" s="9">
        <f t="shared" si="24"/>
        <v>0</v>
      </c>
      <c r="H204" s="9">
        <f t="shared" si="25"/>
        <v>0</v>
      </c>
      <c r="I204" s="18">
        <f>SUMIFS(Orders!$U$5:$U$154,Orders!$B$5:$B$154,$A204)</f>
        <v>0</v>
      </c>
      <c r="J204" s="18">
        <f>SUMIFS(Orders!$H$5:$H$154,Orders!$B$5:$B$154,$A204,Orders!$Q$5:$Q$154,"Paid",Orders!$R$5:$R$154,"Completed")</f>
        <v>0</v>
      </c>
      <c r="K204" s="14">
        <f>SUMIFS(Orders!$M$5:$M$154,Orders!$B$5:$B$154,$A204,Orders!$P$5:$P$154,"Cash",Orders!$Q$5:$Q$154,"Paid",Orders!$R$5:$R$154,"Completed")</f>
        <v>0</v>
      </c>
      <c r="L204" s="14">
        <f t="shared" si="26"/>
        <v>0</v>
      </c>
      <c r="M204" s="14">
        <f>SUMIFS(Expenses!$J$5:$J$104,Expenses!$B$5:$B$104,$A204,Expenses!$M$5:$M$104,"Paid")</f>
        <v>0</v>
      </c>
    </row>
  </sheetData>
  <mergeCells count="2">
    <mergeCell ref="A1:M1"/>
    <mergeCell ref="A2:M2"/>
  </mergeCells>
  <conditionalFormatting sqref="H5:H204">
    <cfRule type="expression" dxfId="1" priority="1">
      <formula>H5&lt;0</formula>
    </cfRule>
    <cfRule type="expression" dxfId="0" priority="2">
      <formula>H5&gt;0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1"/>
  <sheetViews>
    <sheetView workbookViewId="0"/>
  </sheetViews>
  <sheetFormatPr defaultRowHeight="13.8"/>
  <cols>
    <col min="1" max="4" width="18" customWidth="1"/>
    <col min="5" max="5" width="24" customWidth="1"/>
    <col min="6" max="6" width="22" customWidth="1"/>
    <col min="7" max="12" width="18" customWidth="1"/>
  </cols>
  <sheetData>
    <row r="1" spans="1:12" ht="27.15" customHeight="1">
      <c r="A1" s="22" t="s">
        <v>185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3" spans="1:12" ht="24" customHeight="1">
      <c r="A3" s="1" t="s">
        <v>186</v>
      </c>
      <c r="B3" s="1" t="s">
        <v>187</v>
      </c>
    </row>
    <row r="4" spans="1:12">
      <c r="A4" s="2" t="s">
        <v>50</v>
      </c>
      <c r="B4" s="3" t="s">
        <v>188</v>
      </c>
    </row>
    <row r="5" spans="1:12">
      <c r="A5" s="2" t="s">
        <v>189</v>
      </c>
      <c r="B5" s="4">
        <v>46204</v>
      </c>
    </row>
    <row r="6" spans="1:12">
      <c r="A6" s="2" t="s">
        <v>190</v>
      </c>
      <c r="B6" s="3" t="s">
        <v>191</v>
      </c>
    </row>
    <row r="9" spans="1:12" ht="24" customHeight="1">
      <c r="A9" s="1" t="s">
        <v>87</v>
      </c>
      <c r="B9" s="1" t="s">
        <v>95</v>
      </c>
      <c r="C9" s="1" t="s">
        <v>96</v>
      </c>
      <c r="D9" s="1" t="s">
        <v>97</v>
      </c>
      <c r="E9" s="1" t="s">
        <v>68</v>
      </c>
      <c r="F9" s="1" t="s">
        <v>109</v>
      </c>
      <c r="G9" s="1" t="s">
        <v>192</v>
      </c>
      <c r="H9" s="1" t="s">
        <v>193</v>
      </c>
      <c r="I9" s="1" t="s">
        <v>106</v>
      </c>
      <c r="J9" s="1" t="s">
        <v>194</v>
      </c>
      <c r="K9" s="1" t="s">
        <v>195</v>
      </c>
      <c r="L9" s="1" t="s">
        <v>128</v>
      </c>
    </row>
    <row r="10" spans="1:12">
      <c r="A10" s="3" t="s">
        <v>196</v>
      </c>
      <c r="B10" s="3" t="s">
        <v>197</v>
      </c>
      <c r="C10" s="3" t="s">
        <v>198</v>
      </c>
      <c r="D10" s="3" t="s">
        <v>199</v>
      </c>
      <c r="E10" s="3" t="s">
        <v>70</v>
      </c>
      <c r="F10" s="3" t="s">
        <v>200</v>
      </c>
      <c r="G10" s="3" t="s">
        <v>198</v>
      </c>
      <c r="H10" s="3" t="s">
        <v>170</v>
      </c>
      <c r="I10" s="3" t="s">
        <v>177</v>
      </c>
      <c r="J10" s="3" t="s">
        <v>133</v>
      </c>
      <c r="K10" s="3" t="s">
        <v>136</v>
      </c>
      <c r="L10" s="3" t="s">
        <v>135</v>
      </c>
    </row>
    <row r="11" spans="1:12">
      <c r="A11" s="3" t="s">
        <v>201</v>
      </c>
      <c r="B11" s="3" t="s">
        <v>202</v>
      </c>
      <c r="C11" s="3" t="s">
        <v>203</v>
      </c>
      <c r="D11" s="3" t="s">
        <v>204</v>
      </c>
      <c r="E11" s="3" t="s">
        <v>71</v>
      </c>
      <c r="F11" s="3" t="s">
        <v>205</v>
      </c>
      <c r="G11" s="3" t="s">
        <v>206</v>
      </c>
      <c r="H11" s="3" t="s">
        <v>71</v>
      </c>
      <c r="I11" s="3" t="s">
        <v>207</v>
      </c>
      <c r="J11" s="3" t="s">
        <v>148</v>
      </c>
      <c r="K11" s="3" t="s">
        <v>208</v>
      </c>
      <c r="L11" s="3" t="s">
        <v>209</v>
      </c>
    </row>
    <row r="12" spans="1:12">
      <c r="A12" s="3" t="s">
        <v>210</v>
      </c>
      <c r="B12" s="3" t="s">
        <v>211</v>
      </c>
      <c r="C12" s="3" t="s">
        <v>212</v>
      </c>
      <c r="D12" s="3" t="s">
        <v>213</v>
      </c>
      <c r="E12" s="3" t="s">
        <v>72</v>
      </c>
      <c r="F12" s="3" t="s">
        <v>214</v>
      </c>
      <c r="G12" s="3" t="s">
        <v>215</v>
      </c>
      <c r="H12" s="3" t="s">
        <v>216</v>
      </c>
      <c r="I12" s="3" t="s">
        <v>217</v>
      </c>
      <c r="J12" s="3" t="s">
        <v>145</v>
      </c>
      <c r="L12" s="3" t="s">
        <v>218</v>
      </c>
    </row>
    <row r="13" spans="1:12">
      <c r="A13" s="3" t="s">
        <v>219</v>
      </c>
      <c r="B13" s="3" t="s">
        <v>220</v>
      </c>
      <c r="E13" s="3" t="s">
        <v>73</v>
      </c>
      <c r="H13" s="3" t="s">
        <v>221</v>
      </c>
      <c r="I13" s="3" t="s">
        <v>171</v>
      </c>
      <c r="J13" s="3" t="s">
        <v>151</v>
      </c>
      <c r="L13" s="3" t="s">
        <v>222</v>
      </c>
    </row>
    <row r="14" spans="1:12">
      <c r="B14" s="3" t="s">
        <v>223</v>
      </c>
      <c r="E14" s="3" t="s">
        <v>74</v>
      </c>
      <c r="H14" s="3" t="s">
        <v>224</v>
      </c>
      <c r="I14" s="3" t="s">
        <v>225</v>
      </c>
      <c r="J14" s="3" t="s">
        <v>153</v>
      </c>
    </row>
    <row r="15" spans="1:12">
      <c r="B15" s="3" t="s">
        <v>224</v>
      </c>
      <c r="E15" s="3" t="s">
        <v>75</v>
      </c>
      <c r="I15" s="3" t="s">
        <v>174</v>
      </c>
      <c r="J15" s="3" t="s">
        <v>224</v>
      </c>
    </row>
    <row r="16" spans="1:12">
      <c r="E16" s="3" t="s">
        <v>76</v>
      </c>
      <c r="I16" s="3" t="s">
        <v>226</v>
      </c>
    </row>
    <row r="17" spans="5:9">
      <c r="E17" s="3" t="s">
        <v>77</v>
      </c>
      <c r="I17" s="3" t="s">
        <v>227</v>
      </c>
    </row>
    <row r="18" spans="5:9">
      <c r="E18" s="3" t="s">
        <v>78</v>
      </c>
      <c r="I18" s="3" t="s">
        <v>228</v>
      </c>
    </row>
    <row r="19" spans="5:9">
      <c r="E19" s="3" t="s">
        <v>79</v>
      </c>
      <c r="I19" s="3" t="s">
        <v>229</v>
      </c>
    </row>
    <row r="20" spans="5:9">
      <c r="E20" s="3" t="s">
        <v>80</v>
      </c>
    </row>
    <row r="21" spans="5:9">
      <c r="E21" s="3" t="s">
        <v>81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Dashboard</vt:lpstr>
      <vt:lpstr>Orders</vt:lpstr>
      <vt:lpstr>Expenses</vt:lpstr>
      <vt:lpstr>Cash Flow</vt:lpstr>
      <vt:lpstr>Menu &amp; Pricing</vt:lpstr>
      <vt:lpstr>Inventory</vt:lpstr>
      <vt:lpstr>Daily 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commissionbystella@gmail.com</cp:lastModifiedBy>
  <dcterms:modified xsi:type="dcterms:W3CDTF">2026-07-14T06:29:10Z</dcterms:modified>
</cp:coreProperties>
</file>