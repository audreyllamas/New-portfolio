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udre\Downloads\new portfolio\"/>
    </mc:Choice>
  </mc:AlternateContent>
  <xr:revisionPtr revIDLastSave="0" documentId="13_ncr:1_{6F24982E-8635-486F-BEAD-7B601C7B3D64}" xr6:coauthVersionLast="47" xr6:coauthVersionMax="47" xr10:uidLastSave="{00000000-0000-0000-0000-000000000000}"/>
  <bookViews>
    <workbookView xWindow="-108" yWindow="-108" windowWidth="23256" windowHeight="12456" xr2:uid="{00000000-000D-0000-FFFF-FFFF00000000}"/>
  </bookViews>
  <sheets>
    <sheet name="Dashboard" sheetId="1" r:id="rId1"/>
    <sheet name="Meal Tracker" sheetId="2" r:id="rId2"/>
    <sheet name="Food Database" sheetId="3" r:id="rId3"/>
    <sheet name="Cheat Shee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5" i="2" l="1"/>
  <c r="G105" i="2"/>
  <c r="F105" i="2"/>
  <c r="E105" i="2"/>
  <c r="H104" i="2"/>
  <c r="G104" i="2"/>
  <c r="F104" i="2"/>
  <c r="E104" i="2"/>
  <c r="H103" i="2"/>
  <c r="G103" i="2"/>
  <c r="F103" i="2"/>
  <c r="E103" i="2"/>
  <c r="H102" i="2"/>
  <c r="G102" i="2"/>
  <c r="F102" i="2"/>
  <c r="E102" i="2"/>
  <c r="H101" i="2"/>
  <c r="G101" i="2"/>
  <c r="F101" i="2"/>
  <c r="E101" i="2"/>
  <c r="H100" i="2"/>
  <c r="G100" i="2"/>
  <c r="F100" i="2"/>
  <c r="E100" i="2"/>
  <c r="H99" i="2"/>
  <c r="G99" i="2"/>
  <c r="F99" i="2"/>
  <c r="E99" i="2"/>
  <c r="H98" i="2"/>
  <c r="G98" i="2"/>
  <c r="F98" i="2"/>
  <c r="E98" i="2"/>
  <c r="H97" i="2"/>
  <c r="G97" i="2"/>
  <c r="F97" i="2"/>
  <c r="E97" i="2"/>
  <c r="H96" i="2"/>
  <c r="G96" i="2"/>
  <c r="F96" i="2"/>
  <c r="E96" i="2"/>
  <c r="H95" i="2"/>
  <c r="G95" i="2"/>
  <c r="F95" i="2"/>
  <c r="E95" i="2"/>
  <c r="H94" i="2"/>
  <c r="G94" i="2"/>
  <c r="F94" i="2"/>
  <c r="E94" i="2"/>
  <c r="H93" i="2"/>
  <c r="G93" i="2"/>
  <c r="F93" i="2"/>
  <c r="E93" i="2"/>
  <c r="H92" i="2"/>
  <c r="G92" i="2"/>
  <c r="F92" i="2"/>
  <c r="E92" i="2"/>
  <c r="H91" i="2"/>
  <c r="G91" i="2"/>
  <c r="F91" i="2"/>
  <c r="E91" i="2"/>
  <c r="H90" i="2"/>
  <c r="G90" i="2"/>
  <c r="F90" i="2"/>
  <c r="E90" i="2"/>
  <c r="H89" i="2"/>
  <c r="G89" i="2"/>
  <c r="F89" i="2"/>
  <c r="E89" i="2"/>
  <c r="H88" i="2"/>
  <c r="G88" i="2"/>
  <c r="F88" i="2"/>
  <c r="E88" i="2"/>
  <c r="H87" i="2"/>
  <c r="G87" i="2"/>
  <c r="F87" i="2"/>
  <c r="E87" i="2"/>
  <c r="H86" i="2"/>
  <c r="G86" i="2"/>
  <c r="F86" i="2"/>
  <c r="E86" i="2"/>
  <c r="H85" i="2"/>
  <c r="G85" i="2"/>
  <c r="F85" i="2"/>
  <c r="E85" i="2"/>
  <c r="H84" i="2"/>
  <c r="G84" i="2"/>
  <c r="F84" i="2"/>
  <c r="E84" i="2"/>
  <c r="H83" i="2"/>
  <c r="G83" i="2"/>
  <c r="F83" i="2"/>
  <c r="E83" i="2"/>
  <c r="H82" i="2"/>
  <c r="G82" i="2"/>
  <c r="F82" i="2"/>
  <c r="E82" i="2"/>
  <c r="H81" i="2"/>
  <c r="G81" i="2"/>
  <c r="F81" i="2"/>
  <c r="E81" i="2"/>
  <c r="H80" i="2"/>
  <c r="G80" i="2"/>
  <c r="F80" i="2"/>
  <c r="E80" i="2"/>
  <c r="H79" i="2"/>
  <c r="G79" i="2"/>
  <c r="F79" i="2"/>
  <c r="E79" i="2"/>
  <c r="H78" i="2"/>
  <c r="G78" i="2"/>
  <c r="F78" i="2"/>
  <c r="E78" i="2"/>
  <c r="H77" i="2"/>
  <c r="G77" i="2"/>
  <c r="F77" i="2"/>
  <c r="E77" i="2"/>
  <c r="H76" i="2"/>
  <c r="G76" i="2"/>
  <c r="F76" i="2"/>
  <c r="E76" i="2"/>
  <c r="H75" i="2"/>
  <c r="G75" i="2"/>
  <c r="F75" i="2"/>
  <c r="E75" i="2"/>
  <c r="H74" i="2"/>
  <c r="G74" i="2"/>
  <c r="F74" i="2"/>
  <c r="E74" i="2"/>
  <c r="H73" i="2"/>
  <c r="G73" i="2"/>
  <c r="F73" i="2"/>
  <c r="E73" i="2"/>
  <c r="H72" i="2"/>
  <c r="G72" i="2"/>
  <c r="F72" i="2"/>
  <c r="E72" i="2"/>
  <c r="H71" i="2"/>
  <c r="G71" i="2"/>
  <c r="F71" i="2"/>
  <c r="E71" i="2"/>
  <c r="H70" i="2"/>
  <c r="G70" i="2"/>
  <c r="F70" i="2"/>
  <c r="E70" i="2"/>
  <c r="H69" i="2"/>
  <c r="G69" i="2"/>
  <c r="F69" i="2"/>
  <c r="E69" i="2"/>
  <c r="H68" i="2"/>
  <c r="G68" i="2"/>
  <c r="F68" i="2"/>
  <c r="E68" i="2"/>
  <c r="H67" i="2"/>
  <c r="G67" i="2"/>
  <c r="F67" i="2"/>
  <c r="E67" i="2"/>
  <c r="H66" i="2"/>
  <c r="G66" i="2"/>
  <c r="F66" i="2"/>
  <c r="E66" i="2"/>
  <c r="H65" i="2"/>
  <c r="G65" i="2"/>
  <c r="F65" i="2"/>
  <c r="E65" i="2"/>
  <c r="H64" i="2"/>
  <c r="G64" i="2"/>
  <c r="F64" i="2"/>
  <c r="E64" i="2"/>
  <c r="H63" i="2"/>
  <c r="G63" i="2"/>
  <c r="F63" i="2"/>
  <c r="E63" i="2"/>
  <c r="H62" i="2"/>
  <c r="G62" i="2"/>
  <c r="F62" i="2"/>
  <c r="E62" i="2"/>
  <c r="H61" i="2"/>
  <c r="G61" i="2"/>
  <c r="F61" i="2"/>
  <c r="E61" i="2"/>
  <c r="H60" i="2"/>
  <c r="G60" i="2"/>
  <c r="F60" i="2"/>
  <c r="E60" i="2"/>
  <c r="H59" i="2"/>
  <c r="G59" i="2"/>
  <c r="F59" i="2"/>
  <c r="E59" i="2"/>
  <c r="H58" i="2"/>
  <c r="G58" i="2"/>
  <c r="F58" i="2"/>
  <c r="E58" i="2"/>
  <c r="H57" i="2"/>
  <c r="G57" i="2"/>
  <c r="F57" i="2"/>
  <c r="E57" i="2"/>
  <c r="H56" i="2"/>
  <c r="G56" i="2"/>
  <c r="F56" i="2"/>
  <c r="E56" i="2"/>
  <c r="H55" i="2"/>
  <c r="G55" i="2"/>
  <c r="F55" i="2"/>
  <c r="E55" i="2"/>
  <c r="H54" i="2"/>
  <c r="G54" i="2"/>
  <c r="F54" i="2"/>
  <c r="E54" i="2"/>
  <c r="H53" i="2"/>
  <c r="G53" i="2"/>
  <c r="F53" i="2"/>
  <c r="E53" i="2"/>
  <c r="H52" i="2"/>
  <c r="G52" i="2"/>
  <c r="F52" i="2"/>
  <c r="E52" i="2"/>
  <c r="H51" i="2"/>
  <c r="G51" i="2"/>
  <c r="F51" i="2"/>
  <c r="E51" i="2"/>
  <c r="H50" i="2"/>
  <c r="G50" i="2"/>
  <c r="F50" i="2"/>
  <c r="E50" i="2"/>
  <c r="H49" i="2"/>
  <c r="G49" i="2"/>
  <c r="F49" i="2"/>
  <c r="E49" i="2"/>
  <c r="H48" i="2"/>
  <c r="G48" i="2"/>
  <c r="F48" i="2"/>
  <c r="E48" i="2"/>
  <c r="H47" i="2"/>
  <c r="G47" i="2"/>
  <c r="F47" i="2"/>
  <c r="E47" i="2"/>
  <c r="H46" i="2"/>
  <c r="G46" i="2"/>
  <c r="F46" i="2"/>
  <c r="E46" i="2"/>
  <c r="H45" i="2"/>
  <c r="G45" i="2"/>
  <c r="F45" i="2"/>
  <c r="E45" i="2"/>
  <c r="H44" i="2"/>
  <c r="G44" i="2"/>
  <c r="F44" i="2"/>
  <c r="E44" i="2"/>
  <c r="H43" i="2"/>
  <c r="G43" i="2"/>
  <c r="F43" i="2"/>
  <c r="E43" i="2"/>
  <c r="H42" i="2"/>
  <c r="G42" i="2"/>
  <c r="F42" i="2"/>
  <c r="E42" i="2"/>
  <c r="H41" i="2"/>
  <c r="G41" i="2"/>
  <c r="F41" i="2"/>
  <c r="E41" i="2"/>
  <c r="H40" i="2"/>
  <c r="G40" i="2"/>
  <c r="F40" i="2"/>
  <c r="E40" i="2"/>
  <c r="H39" i="2"/>
  <c r="G39" i="2"/>
  <c r="F39" i="2"/>
  <c r="E39" i="2"/>
  <c r="H38" i="2"/>
  <c r="G38" i="2"/>
  <c r="F38" i="2"/>
  <c r="E38" i="2"/>
  <c r="H37" i="2"/>
  <c r="G37" i="2"/>
  <c r="F37" i="2"/>
  <c r="E37" i="2"/>
  <c r="H36" i="2"/>
  <c r="G36" i="2"/>
  <c r="F36" i="2"/>
  <c r="E36" i="2"/>
  <c r="H35" i="2"/>
  <c r="G35" i="2"/>
  <c r="F35" i="2"/>
  <c r="E35" i="2"/>
  <c r="H34" i="2"/>
  <c r="G34" i="2"/>
  <c r="F34" i="2"/>
  <c r="E34" i="2"/>
  <c r="H33" i="2"/>
  <c r="G33" i="2"/>
  <c r="F33" i="2"/>
  <c r="E33" i="2"/>
  <c r="H32" i="2"/>
  <c r="G32" i="2"/>
  <c r="F32" i="2"/>
  <c r="E32" i="2"/>
  <c r="H31" i="2"/>
  <c r="G31" i="2"/>
  <c r="F31" i="2"/>
  <c r="E31" i="2"/>
  <c r="H30" i="2"/>
  <c r="G30" i="2"/>
  <c r="F30" i="2"/>
  <c r="E30" i="2"/>
  <c r="H29" i="2"/>
  <c r="G29" i="2"/>
  <c r="F29" i="2"/>
  <c r="E29" i="2"/>
  <c r="H28" i="2"/>
  <c r="G28" i="2"/>
  <c r="F28" i="2"/>
  <c r="E28" i="2"/>
  <c r="H27" i="2"/>
  <c r="G27" i="2"/>
  <c r="F27" i="2"/>
  <c r="E27" i="2"/>
  <c r="H26" i="2"/>
  <c r="G26" i="2"/>
  <c r="F26" i="2"/>
  <c r="E26" i="2"/>
  <c r="H25" i="2"/>
  <c r="G25" i="2"/>
  <c r="F25" i="2"/>
  <c r="E25" i="2"/>
  <c r="H24" i="2"/>
  <c r="G24" i="2"/>
  <c r="F24" i="2"/>
  <c r="E24" i="2"/>
  <c r="H23" i="2"/>
  <c r="G23" i="2"/>
  <c r="F23" i="2"/>
  <c r="E23" i="2"/>
  <c r="H22" i="2"/>
  <c r="G22" i="2"/>
  <c r="F22" i="2"/>
  <c r="E22" i="2"/>
  <c r="H21" i="2"/>
  <c r="G21" i="2"/>
  <c r="F21" i="2"/>
  <c r="E21" i="2"/>
  <c r="H20" i="2"/>
  <c r="G20" i="2"/>
  <c r="F20" i="2"/>
  <c r="E20" i="2"/>
  <c r="H19" i="2"/>
  <c r="G19" i="2"/>
  <c r="F19" i="2"/>
  <c r="E19" i="2"/>
  <c r="H18" i="2"/>
  <c r="G18" i="2"/>
  <c r="F18" i="2"/>
  <c r="E18" i="2"/>
  <c r="H17" i="2"/>
  <c r="G17" i="2"/>
  <c r="F17" i="2"/>
  <c r="E17" i="2"/>
  <c r="H16" i="2"/>
  <c r="G16" i="2"/>
  <c r="F16" i="2"/>
  <c r="E16" i="2"/>
  <c r="H15" i="2"/>
  <c r="G15" i="2"/>
  <c r="F15" i="2"/>
  <c r="E15" i="2"/>
  <c r="H14" i="2"/>
  <c r="G14" i="2"/>
  <c r="F14" i="2"/>
  <c r="E14" i="2"/>
  <c r="H13" i="2"/>
  <c r="G13" i="2"/>
  <c r="F13" i="2"/>
  <c r="E13" i="2"/>
  <c r="H12" i="2"/>
  <c r="G12" i="2"/>
  <c r="F12" i="2"/>
  <c r="E12" i="2"/>
  <c r="H11" i="2"/>
  <c r="G11" i="2"/>
  <c r="F11" i="2"/>
  <c r="E11" i="2"/>
  <c r="H10" i="2"/>
  <c r="G10" i="2"/>
  <c r="F10" i="2"/>
  <c r="E10" i="2"/>
  <c r="H9" i="2"/>
  <c r="G9" i="2"/>
  <c r="F9" i="2"/>
  <c r="E9" i="2"/>
  <c r="H8" i="2"/>
  <c r="G8" i="2"/>
  <c r="F8" i="2"/>
  <c r="E8" i="2"/>
  <c r="H7" i="2"/>
  <c r="G7" i="2"/>
  <c r="F7" i="2"/>
  <c r="E7" i="2"/>
  <c r="H6" i="2"/>
  <c r="G6" i="2"/>
  <c r="F6" i="2"/>
  <c r="E6" i="2"/>
  <c r="B18" i="1"/>
  <c r="B17" i="1"/>
  <c r="B16" i="1"/>
  <c r="B15" i="1"/>
  <c r="E12" i="1"/>
  <c r="B12" i="1"/>
  <c r="C18" i="1" s="1"/>
  <c r="E18" i="1" s="1"/>
  <c r="E8" i="1"/>
  <c r="H7" i="1"/>
  <c r="J7" i="1" s="1"/>
  <c r="J6" i="1"/>
  <c r="H6" i="1"/>
  <c r="H5" i="1"/>
  <c r="J5" i="1" s="1"/>
  <c r="D18" i="1" l="1"/>
  <c r="C15" i="1"/>
  <c r="E15" i="1" s="1"/>
  <c r="C16" i="1"/>
  <c r="E16" i="1" s="1"/>
  <c r="C17" i="1"/>
  <c r="E17" i="1" s="1"/>
  <c r="H12" i="1"/>
  <c r="B13" i="1" s="1"/>
  <c r="D17" i="1" l="1"/>
  <c r="D15" i="1"/>
  <c r="D16" i="1"/>
</calcChain>
</file>

<file path=xl/sharedStrings.xml><?xml version="1.0" encoding="utf-8"?>
<sst xmlns="http://schemas.openxmlformats.org/spreadsheetml/2006/main" count="178" uniqueCount="106">
  <si>
    <t>Calorie &amp; Macro Tracker</t>
  </si>
  <si>
    <t>Track daily food intake in grams. Protein, fats, carbohydrates, and calories compute automatically from the Food Database.</t>
  </si>
  <si>
    <t>Client Profile</t>
  </si>
  <si>
    <t>Macro Distribution</t>
  </si>
  <si>
    <t>Daily Targets (g)</t>
  </si>
  <si>
    <t>Per Meal Target (g)</t>
  </si>
  <si>
    <t>Client Name</t>
  </si>
  <si>
    <t>Carbohydrates</t>
  </si>
  <si>
    <t>Age</t>
  </si>
  <si>
    <t>Protein</t>
  </si>
  <si>
    <t>Weight (kg)</t>
  </si>
  <si>
    <t>Fats</t>
  </si>
  <si>
    <t>Daily Calorie Target</t>
  </si>
  <si>
    <t>Total</t>
  </si>
  <si>
    <t>Meals per Day</t>
  </si>
  <si>
    <t>Daily Intake Summary</t>
  </si>
  <si>
    <t>Selected Date</t>
  </si>
  <si>
    <t>Calories Consumed</t>
  </si>
  <si>
    <t>Calories Remaining</t>
  </si>
  <si>
    <t>Nutrient</t>
  </si>
  <si>
    <t>Target (g / kcal)</t>
  </si>
  <si>
    <t>Consumed</t>
  </si>
  <si>
    <t>Remaining</t>
  </si>
  <si>
    <t>Progress</t>
  </si>
  <si>
    <t>Quick reminder
1. Enter each food item and serving size in grams on the Meal Tracker.
2. Select the date above to view that day's intake totals.
3. Add or edit foods and nutrition values in the Food Database when needed.</t>
  </si>
  <si>
    <t>Calories</t>
  </si>
  <si>
    <t>Meal Tracker</t>
  </si>
  <si>
    <t>Fill in Date, Meal, Food Item, and Serving (g). The macro and calorie columns calculate automatically. Only type in the white input cells.</t>
  </si>
  <si>
    <t>Tip: Choose food items from the dropdown list. To add a missing food, enter it in the Food Database sheet first.</t>
  </si>
  <si>
    <t>Date</t>
  </si>
  <si>
    <t>Meal</t>
  </si>
  <si>
    <t>Food Item</t>
  </si>
  <si>
    <t>Serving (g)</t>
  </si>
  <si>
    <t>Protein (g)</t>
  </si>
  <si>
    <t>Fats (g)</t>
  </si>
  <si>
    <t>Carbs (g)</t>
  </si>
  <si>
    <t>Notes</t>
  </si>
  <si>
    <t>Food Database (per 100 grams)</t>
  </si>
  <si>
    <t>Starter database only. Nutrition values may vary by brand, recipe, preparation, and food label. Add or edit foods as needed. Keep each Food Item name unique so the Meal Tracker can calculate correctly.</t>
  </si>
  <si>
    <t>Category</t>
  </si>
  <si>
    <t>Calories (kcal)</t>
  </si>
  <si>
    <t>Source / Notes</t>
  </si>
  <si>
    <t>Chicken breast, cooked, skinless</t>
  </si>
  <si>
    <t>https://fdc.nal.usda.gov/</t>
  </si>
  <si>
    <t>Chicken thigh, cooked, skinless</t>
  </si>
  <si>
    <t>Lean ground beef, cooked</t>
  </si>
  <si>
    <t>Pork loin, cooked</t>
  </si>
  <si>
    <t>Egg, whole, boiled</t>
  </si>
  <si>
    <t>Tuna, canned in water, drained</t>
  </si>
  <si>
    <t>Salmon, cooked</t>
  </si>
  <si>
    <t>Tofu, firm</t>
  </si>
  <si>
    <t>Tempeh</t>
  </si>
  <si>
    <t>Low-fat milk, 1%</t>
  </si>
  <si>
    <t>Dairy</t>
  </si>
  <si>
    <t>Greek yogurt, plain, nonfat</t>
  </si>
  <si>
    <t>Cheddar cheese</t>
  </si>
  <si>
    <t>White rice, cooked</t>
  </si>
  <si>
    <t>Grains</t>
  </si>
  <si>
    <t>Brown rice, cooked</t>
  </si>
  <si>
    <t>Oatmeal, cooked</t>
  </si>
  <si>
    <t>Whole-wheat bread</t>
  </si>
  <si>
    <t>Potato, boiled</t>
  </si>
  <si>
    <t>Starch</t>
  </si>
  <si>
    <t>Sweet potato, baked</t>
  </si>
  <si>
    <t>Banana</t>
  </si>
  <si>
    <t>Fruit</t>
  </si>
  <si>
    <t>Apple</t>
  </si>
  <si>
    <t>Mango</t>
  </si>
  <si>
    <t>Orange</t>
  </si>
  <si>
    <t>Broccoli, cooked</t>
  </si>
  <si>
    <t>Vegetable</t>
  </si>
  <si>
    <t>Carrot, raw</t>
  </si>
  <si>
    <t>Cucumber, raw</t>
  </si>
  <si>
    <t>Tomato, raw</t>
  </si>
  <si>
    <t>Lettuce, raw</t>
  </si>
  <si>
    <t>Avocado</t>
  </si>
  <si>
    <t>Healthy Fats</t>
  </si>
  <si>
    <t>Peanut butter</t>
  </si>
  <si>
    <t>Peanuts, dry roasted</t>
  </si>
  <si>
    <t>Olive oil</t>
  </si>
  <si>
    <t>Coconut oil</t>
  </si>
  <si>
    <t>Whey protein powder</t>
  </si>
  <si>
    <t>Supplement</t>
  </si>
  <si>
    <t>Check nutrition label; varies by brand.</t>
  </si>
  <si>
    <t>Cheat Sheet: How to Use the Calorie &amp; Macro Tracker</t>
  </si>
  <si>
    <t>Step</t>
  </si>
  <si>
    <t>What to Do</t>
  </si>
  <si>
    <t>1</t>
  </si>
  <si>
    <t>Set the profile</t>
  </si>
  <si>
    <t>On the Dashboard, enter the client name, age, weight, daily calorie target, and number of meals per day.</t>
  </si>
  <si>
    <t>2</t>
  </si>
  <si>
    <t>Set macro split</t>
  </si>
  <si>
    <t>Adjust the carbohydrates, protein, and fats percentages on the Dashboard. The Total must be 100%. Daily and per-meal gram targets will update automatically.</t>
  </si>
  <si>
    <t>3</t>
  </si>
  <si>
    <t>Log food intake</t>
  </si>
  <si>
    <t>Go to Meal Tracker. Enter the date, choose the meal type, choose the food item, and type the serving in grams. Protein, fats, carbs, and calories will calculate automatically.</t>
  </si>
  <si>
    <t>4</t>
  </si>
  <si>
    <t>Check daily summary</t>
  </si>
  <si>
    <t>Back on the Dashboard, type or select the date you want to review in Selected Date. The daily targets, intake, remaining amount, and progress will show there.</t>
  </si>
  <si>
    <t>5</t>
  </si>
  <si>
    <t>Add missing foods</t>
  </si>
  <si>
    <t>If a food is not listed, add it on the Food Database sheet using nutrition values per 100 grams. Use a unique food name; it will then appear in the Meal Tracker dropdown.</t>
  </si>
  <si>
    <t>6</t>
  </si>
  <si>
    <t>Print / save</t>
  </si>
  <si>
    <t>The Dashboard works as a clean daily summary. To print, set the selected date first, then print the Dashboard sheet or save it as a PDF.</t>
  </si>
  <si>
    <t>Important Note: This spreadsheet is a tracking tool, not a medical meal prescription. Nutrition values are estimates and should be checked against food labels, recipes, or guidance from a qualified nutrition professional when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</si>
</sst>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d\,\ yyyy"/>
  </numFmts>
  <fonts count="5">
    <font>
      <sz val="11"/>
      <name val="Carlito"/>
    </font>
    <font>
      <b/>
      <sz val="11"/>
      <color rgb="FFFFFFFF"/>
      <name val="Carlito"/>
    </font>
    <font>
      <i/>
      <sz val="11"/>
      <color rgb="FF6B5560"/>
      <name val="Carlito"/>
    </font>
    <font>
      <b/>
      <sz val="11"/>
      <color rgb="FF3C2632"/>
      <name val="Carlito"/>
    </font>
    <font>
      <sz val="11"/>
      <color rgb="FF3C2632"/>
      <name val="Carlito"/>
    </font>
  </fonts>
  <fills count="9">
    <fill>
      <patternFill patternType="none"/>
    </fill>
    <fill>
      <patternFill patternType="gray125"/>
    </fill>
    <fill>
      <patternFill patternType="solid">
        <fgColor rgb="FF8E2D59"/>
      </patternFill>
    </fill>
    <fill>
      <patternFill patternType="solid">
        <fgColor rgb="FFFCEAF1"/>
      </patternFill>
    </fill>
    <fill>
      <patternFill patternType="solid">
        <fgColor rgb="FFC95687"/>
      </patternFill>
    </fill>
    <fill>
      <patternFill patternType="solid">
        <fgColor rgb="FFF8D8E5"/>
      </patternFill>
    </fill>
    <fill>
      <patternFill patternType="solid">
        <fgColor rgb="FFFFF8FB"/>
      </patternFill>
    </fill>
    <fill>
      <patternFill patternType="solid">
        <fgColor rgb="FFF6F6F6"/>
      </patternFill>
    </fill>
    <fill>
      <patternFill patternType="solid">
        <fgColor rgb="FFFFF6D8"/>
      </patternFill>
    </fill>
  </fills>
  <borders count="1">
    <border>
      <left/>
      <right/>
      <top/>
      <bottom/>
      <diagonal/>
    </border>
  </borders>
  <cellStyleXfs count="1">
    <xf numFmtId="0" fontId="0" fillId="0" borderId="0"/>
  </cellStyleXfs>
  <cellXfs count="24">
    <xf numFmtId="0" fontId="0" fillId="0" borderId="0" xfId="0"/>
    <xf numFmtId="0" fontId="3" fillId="5" borderId="0" xfId="0" applyFont="1" applyFill="1" applyAlignment="1">
      <alignment vertical="center"/>
    </xf>
    <xf numFmtId="0" fontId="1" fillId="4" borderId="0" xfId="0" applyFont="1" applyFill="1" applyAlignment="1">
      <alignment horizontal="center" vertical="center" wrapText="1"/>
    </xf>
    <xf numFmtId="0" fontId="0" fillId="0" borderId="0" xfId="0" applyAlignment="1">
      <alignment wrapText="1"/>
    </xf>
    <xf numFmtId="0" fontId="3" fillId="5" borderId="0" xfId="0" applyFont="1" applyFill="1" applyAlignment="1">
      <alignment vertical="center" wrapText="1"/>
    </xf>
    <xf numFmtId="0" fontId="4" fillId="6" borderId="0" xfId="0" applyFont="1" applyFill="1" applyAlignment="1">
      <alignment vertical="center" wrapText="1"/>
    </xf>
    <xf numFmtId="9" fontId="4" fillId="6" borderId="0" xfId="0" applyNumberFormat="1" applyFont="1" applyFill="1" applyAlignment="1">
      <alignment vertical="center" wrapText="1"/>
    </xf>
    <xf numFmtId="164" fontId="4" fillId="7" borderId="0" xfId="0" applyNumberFormat="1" applyFont="1" applyFill="1" applyAlignment="1">
      <alignment vertical="center" wrapText="1"/>
    </xf>
    <xf numFmtId="164" fontId="4" fillId="6" borderId="0" xfId="0" applyNumberFormat="1" applyFont="1" applyFill="1" applyAlignment="1">
      <alignment vertical="center" wrapText="1"/>
    </xf>
    <xf numFmtId="1" fontId="4" fillId="6" borderId="0" xfId="0" applyNumberFormat="1" applyFont="1" applyFill="1" applyAlignment="1">
      <alignment vertical="center" wrapText="1"/>
    </xf>
    <xf numFmtId="9" fontId="4" fillId="7" borderId="0" xfId="0" applyNumberFormat="1" applyFont="1" applyFill="1" applyAlignment="1">
      <alignment vertical="center" wrapText="1"/>
    </xf>
    <xf numFmtId="1" fontId="3" fillId="7" borderId="0" xfId="0" applyNumberFormat="1" applyFont="1" applyFill="1" applyAlignment="1">
      <alignment vertical="center" wrapText="1"/>
    </xf>
    <xf numFmtId="1" fontId="3" fillId="5" borderId="0" xfId="0" applyNumberFormat="1" applyFont="1" applyFill="1" applyAlignment="1">
      <alignment vertical="center" wrapText="1"/>
    </xf>
    <xf numFmtId="1" fontId="4" fillId="7" borderId="0" xfId="0" applyNumberFormat="1" applyFont="1" applyFill="1" applyAlignment="1">
      <alignment vertical="center" wrapText="1"/>
    </xf>
    <xf numFmtId="165" fontId="4" fillId="6" borderId="0" xfId="0" applyNumberFormat="1" applyFont="1" applyFill="1" applyAlignment="1">
      <alignment vertical="center" wrapText="1"/>
    </xf>
    <xf numFmtId="165" fontId="3" fillId="7" borderId="0" xfId="0" applyNumberFormat="1" applyFont="1" applyFill="1" applyAlignment="1">
      <alignmen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1" fillId="4" borderId="0" xfId="0" applyFont="1" applyFill="1" applyAlignment="1">
      <alignment horizontal="center" vertical="center" wrapText="1"/>
    </xf>
    <xf numFmtId="0" fontId="4" fillId="3" borderId="0" xfId="0" applyFont="1" applyFill="1" applyAlignment="1">
      <alignment vertical="top" wrapText="1"/>
    </xf>
    <xf numFmtId="0" fontId="3" fillId="8" borderId="0" xfId="0" applyFont="1" applyFill="1" applyAlignment="1">
      <alignment horizontal="center" vertical="center"/>
    </xf>
    <xf numFmtId="0" fontId="1" fillId="4" borderId="0" xfId="0" applyFont="1" applyFill="1" applyAlignment="1">
      <alignment horizontal="center" vertical="center"/>
    </xf>
    <xf numFmtId="0" fontId="4" fillId="6" borderId="0" xfId="0" applyFont="1" applyFill="1" applyAlignment="1">
      <alignment vertical="center" wrapText="1"/>
    </xf>
    <xf numFmtId="0" fontId="3" fillId="8" borderId="0" xfId="0" applyFont="1" applyFill="1" applyAlignment="1">
      <alignment horizontal="center" vertical="center" wrapText="1"/>
    </xf>
  </cellXfs>
  <cellStyles count="1">
    <cellStyle name="Normal" xfId="0" builtinId="0"/>
  </cellStyles>
  <dxfs count="4">
    <dxf>
      <font>
        <b/>
        <color rgb="FF9F1239"/>
      </font>
      <fill>
        <patternFill patternType="solid">
          <bgColor rgb="FFFDE7EA"/>
        </patternFill>
      </fill>
    </dxf>
    <dxf>
      <font>
        <b/>
        <color rgb="FF9F1239"/>
      </font>
      <fill>
        <patternFill patternType="solid">
          <bgColor rgb="FFFDE7EA"/>
        </patternFill>
      </fill>
    </dxf>
    <dxf>
      <font>
        <b/>
        <color rgb="FF9F1239"/>
      </font>
      <fill>
        <patternFill patternType="solid">
          <bgColor rgb="FFFDE7EA"/>
        </patternFill>
      </fill>
    </dxf>
    <dxf>
      <font>
        <b/>
        <color rgb="FF9F1239"/>
      </font>
      <fill>
        <patternFill patternType="solid">
          <bgColor rgb="FFFDE7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A31" workbookViewId="0">
      <selection sqref="A1:J1"/>
    </sheetView>
  </sheetViews>
  <sheetFormatPr defaultRowHeight="13.8"/>
  <cols>
    <col min="1" max="1" width="22" customWidth="1"/>
    <col min="2" max="2" width="16" customWidth="1"/>
    <col min="3" max="3" width="14" customWidth="1"/>
    <col min="4" max="4" width="20" customWidth="1"/>
    <col min="5" max="5" width="15" customWidth="1"/>
    <col min="6" max="6" width="4" customWidth="1"/>
    <col min="7" max="7" width="20" customWidth="1"/>
    <col min="8" max="8" width="15" customWidth="1"/>
    <col min="9" max="9" width="20" customWidth="1"/>
    <col min="10" max="10" width="15" customWidth="1"/>
  </cols>
  <sheetData>
    <row r="1" spans="1:10" ht="22.35" customHeight="1">
      <c r="A1" s="16" t="s">
        <v>0</v>
      </c>
      <c r="B1" s="16"/>
      <c r="C1" s="16"/>
      <c r="D1" s="16"/>
      <c r="E1" s="16"/>
      <c r="F1" s="16"/>
      <c r="G1" s="16"/>
      <c r="H1" s="16"/>
      <c r="I1" s="16"/>
      <c r="J1" s="16"/>
    </row>
    <row r="2" spans="1:10" ht="24" customHeight="1">
      <c r="A2" s="17" t="s">
        <v>1</v>
      </c>
      <c r="B2" s="17"/>
      <c r="C2" s="17"/>
      <c r="D2" s="17"/>
      <c r="E2" s="17"/>
      <c r="F2" s="17"/>
      <c r="G2" s="17"/>
      <c r="H2" s="17"/>
      <c r="I2" s="17"/>
      <c r="J2" s="17"/>
    </row>
    <row r="4" spans="1:10" ht="17.55" customHeight="1">
      <c r="A4" s="18" t="s">
        <v>2</v>
      </c>
      <c r="B4" s="18"/>
      <c r="C4" s="3"/>
      <c r="D4" s="18" t="s">
        <v>3</v>
      </c>
      <c r="E4" s="18"/>
      <c r="F4" s="3"/>
      <c r="G4" s="18" t="s">
        <v>4</v>
      </c>
      <c r="H4" s="18"/>
      <c r="I4" s="18" t="s">
        <v>5</v>
      </c>
      <c r="J4" s="18"/>
    </row>
    <row r="5" spans="1:10" ht="17.55" customHeight="1">
      <c r="A5" s="4" t="s">
        <v>6</v>
      </c>
      <c r="B5" s="5"/>
      <c r="C5" s="3"/>
      <c r="D5" s="4" t="s">
        <v>7</v>
      </c>
      <c r="E5" s="6">
        <v>0.5</v>
      </c>
      <c r="F5" s="3"/>
      <c r="G5" s="4" t="s">
        <v>7</v>
      </c>
      <c r="H5" s="7">
        <f>IFERROR($B$8*$E$5/4,0)</f>
        <v>225</v>
      </c>
      <c r="I5" s="4" t="s">
        <v>7</v>
      </c>
      <c r="J5" s="7">
        <f>IFERROR($H$5/$B$9,0)</f>
        <v>56.25</v>
      </c>
    </row>
    <row r="6" spans="1:10" ht="17.55" customHeight="1">
      <c r="A6" s="4" t="s">
        <v>8</v>
      </c>
      <c r="B6" s="5"/>
      <c r="C6" s="3"/>
      <c r="D6" s="4" t="s">
        <v>9</v>
      </c>
      <c r="E6" s="6">
        <v>0.2</v>
      </c>
      <c r="F6" s="3"/>
      <c r="G6" s="4" t="s">
        <v>9</v>
      </c>
      <c r="H6" s="7">
        <f>IFERROR($B$8*$E$6/4,0)</f>
        <v>90</v>
      </c>
      <c r="I6" s="4" t="s">
        <v>9</v>
      </c>
      <c r="J6" s="7">
        <f>IFERROR($H$6/$B$9,0)</f>
        <v>22.5</v>
      </c>
    </row>
    <row r="7" spans="1:10" ht="17.55" customHeight="1">
      <c r="A7" s="4" t="s">
        <v>10</v>
      </c>
      <c r="B7" s="8"/>
      <c r="C7" s="3"/>
      <c r="D7" s="4" t="s">
        <v>11</v>
      </c>
      <c r="E7" s="6">
        <v>0.3</v>
      </c>
      <c r="F7" s="3"/>
      <c r="G7" s="4" t="s">
        <v>11</v>
      </c>
      <c r="H7" s="7">
        <f>IFERROR($B$8*$E$7/9,0)</f>
        <v>60</v>
      </c>
      <c r="I7" s="4" t="s">
        <v>11</v>
      </c>
      <c r="J7" s="7">
        <f>IFERROR($H$7/$B$9,0)</f>
        <v>15</v>
      </c>
    </row>
    <row r="8" spans="1:10" ht="17.55" customHeight="1">
      <c r="A8" s="4" t="s">
        <v>12</v>
      </c>
      <c r="B8" s="9">
        <v>1800</v>
      </c>
      <c r="C8" s="3"/>
      <c r="D8" s="4" t="s">
        <v>13</v>
      </c>
      <c r="E8" s="10">
        <f>SUM(E5:E7)</f>
        <v>1</v>
      </c>
      <c r="F8" s="3"/>
      <c r="G8" s="3"/>
      <c r="H8" s="3"/>
      <c r="I8" s="3"/>
      <c r="J8" s="3"/>
    </row>
    <row r="9" spans="1:10" ht="17.55" customHeight="1">
      <c r="A9" s="4" t="s">
        <v>14</v>
      </c>
      <c r="B9" s="9">
        <v>4</v>
      </c>
      <c r="C9" s="3"/>
      <c r="D9" s="3"/>
      <c r="E9" s="3"/>
      <c r="F9" s="3"/>
      <c r="G9" s="3"/>
      <c r="H9" s="3"/>
      <c r="I9" s="3"/>
      <c r="J9" s="3"/>
    </row>
    <row r="10" spans="1:10" ht="17.55" customHeight="1">
      <c r="A10" s="3"/>
      <c r="B10" s="3"/>
      <c r="C10" s="3"/>
      <c r="D10" s="3"/>
      <c r="E10" s="3"/>
      <c r="F10" s="3"/>
      <c r="G10" s="3"/>
      <c r="H10" s="3"/>
      <c r="I10" s="3"/>
      <c r="J10" s="3"/>
    </row>
    <row r="11" spans="1:10" ht="17.55" customHeight="1">
      <c r="A11" s="18" t="s">
        <v>15</v>
      </c>
      <c r="B11" s="18"/>
      <c r="C11" s="18"/>
      <c r="D11" s="18"/>
      <c r="E11" s="18"/>
      <c r="F11" s="18"/>
      <c r="G11" s="18"/>
      <c r="H11" s="18"/>
      <c r="I11" s="18"/>
      <c r="J11" s="18"/>
    </row>
    <row r="12" spans="1:10" ht="17.55" customHeight="1">
      <c r="A12" s="4" t="s">
        <v>16</v>
      </c>
      <c r="B12" s="15">
        <f ca="1">TODAY()</f>
        <v>46217</v>
      </c>
      <c r="C12" s="4"/>
      <c r="D12" s="12" t="s">
        <v>12</v>
      </c>
      <c r="E12" s="11">
        <f>$B$8</f>
        <v>1800</v>
      </c>
      <c r="F12" s="11"/>
      <c r="G12" s="12" t="s">
        <v>17</v>
      </c>
      <c r="H12" s="11">
        <f ca="1">SUMIFS('Meal Tracker'!$H$6:$H$105,'Meal Tracker'!$A$6:$A$105,$B$12)</f>
        <v>0</v>
      </c>
      <c r="I12" s="3"/>
      <c r="J12" s="3"/>
    </row>
    <row r="13" spans="1:10" ht="17.55" customHeight="1">
      <c r="A13" s="4" t="s">
        <v>18</v>
      </c>
      <c r="B13" s="13">
        <f ca="1">E12-H12</f>
        <v>1800</v>
      </c>
      <c r="C13" s="3"/>
      <c r="D13" s="3"/>
      <c r="E13" s="3"/>
      <c r="F13" s="3"/>
      <c r="G13" s="3"/>
      <c r="H13" s="3"/>
      <c r="I13" s="3"/>
      <c r="J13" s="3"/>
    </row>
    <row r="14" spans="1:10" ht="25.65" customHeight="1">
      <c r="A14" s="2" t="s">
        <v>19</v>
      </c>
      <c r="B14" s="2" t="s">
        <v>20</v>
      </c>
      <c r="C14" s="2" t="s">
        <v>21</v>
      </c>
      <c r="D14" s="2" t="s">
        <v>22</v>
      </c>
      <c r="E14" s="2" t="s">
        <v>23</v>
      </c>
      <c r="F14" s="3"/>
      <c r="G14" s="19" t="s">
        <v>24</v>
      </c>
      <c r="H14" s="19"/>
      <c r="I14" s="19"/>
      <c r="J14" s="19"/>
    </row>
    <row r="15" spans="1:10" ht="25.65" customHeight="1">
      <c r="A15" s="4" t="s">
        <v>7</v>
      </c>
      <c r="B15" s="7">
        <f>$H$5</f>
        <v>225</v>
      </c>
      <c r="C15" s="7">
        <f ca="1">SUMIFS('Meal Tracker'!$G$6:$G$105,'Meal Tracker'!$A$6:$A$105,$B$12)</f>
        <v>0</v>
      </c>
      <c r="D15" s="7">
        <f ca="1">B15-C15</f>
        <v>225</v>
      </c>
      <c r="E15" s="10">
        <f ca="1">IFERROR(C15/B15,0)</f>
        <v>0</v>
      </c>
      <c r="F15" s="3"/>
      <c r="G15" s="19"/>
      <c r="H15" s="19"/>
      <c r="I15" s="19"/>
      <c r="J15" s="19"/>
    </row>
    <row r="16" spans="1:10" ht="25.65" customHeight="1">
      <c r="A16" s="4" t="s">
        <v>9</v>
      </c>
      <c r="B16" s="7">
        <f>$H$6</f>
        <v>90</v>
      </c>
      <c r="C16" s="7">
        <f ca="1">SUMIFS('Meal Tracker'!$E$6:$E$105,'Meal Tracker'!$A$6:$A$105,$B$12)</f>
        <v>0</v>
      </c>
      <c r="D16" s="7">
        <f ca="1">B16-C16</f>
        <v>90</v>
      </c>
      <c r="E16" s="10">
        <f ca="1">IFERROR(C16/B16,0)</f>
        <v>0</v>
      </c>
      <c r="F16" s="3"/>
      <c r="G16" s="19"/>
      <c r="H16" s="19"/>
      <c r="I16" s="19"/>
      <c r="J16" s="19"/>
    </row>
    <row r="17" spans="1:10" ht="25.65" customHeight="1">
      <c r="A17" s="4" t="s">
        <v>11</v>
      </c>
      <c r="B17" s="7">
        <f>$H$7</f>
        <v>60</v>
      </c>
      <c r="C17" s="7">
        <f ca="1">SUMIFS('Meal Tracker'!$F$6:$F$105,'Meal Tracker'!$A$6:$A$105,$B$12)</f>
        <v>0</v>
      </c>
      <c r="D17" s="7">
        <f ca="1">B17-C17</f>
        <v>60</v>
      </c>
      <c r="E17" s="10">
        <f ca="1">IFERROR(C17/B17,0)</f>
        <v>0</v>
      </c>
      <c r="F17" s="3"/>
      <c r="G17" s="19"/>
      <c r="H17" s="19"/>
      <c r="I17" s="19"/>
      <c r="J17" s="19"/>
    </row>
    <row r="18" spans="1:10" ht="25.65" customHeight="1">
      <c r="A18" s="4" t="s">
        <v>25</v>
      </c>
      <c r="B18" s="13">
        <f>$B$8</f>
        <v>1800</v>
      </c>
      <c r="C18" s="13">
        <f ca="1">SUMIFS('Meal Tracker'!$H$6:$H$105,'Meal Tracker'!$A$6:$A$105,$B$12)</f>
        <v>0</v>
      </c>
      <c r="D18" s="13">
        <f ca="1">B18-C18</f>
        <v>1800</v>
      </c>
      <c r="E18" s="10">
        <f ca="1">IFERROR(C18/B18,0)</f>
        <v>0</v>
      </c>
      <c r="F18" s="3"/>
      <c r="G18" s="19"/>
      <c r="H18" s="19"/>
      <c r="I18" s="19"/>
      <c r="J18" s="19"/>
    </row>
  </sheetData>
  <sheetProtection algorithmName="SHA-512" hashValue="izrFJ8IKYp9ZeiqWce9mqrpz1IctuyB+qxn/Ukj89VueE4NKc1xKaGYMEcr+F7DHPtVOBnRxRxMpshmsk0wN+g==" saltValue="FOFfCGT53amkYlsFz/r7AQ==" spinCount="100000" sheet="1" formatCells="0" formatColumns="0" formatRows="0" insertColumns="0" insertRows="0" insertHyperlinks="0" deleteColumns="0" deleteRows="0" sort="0" autoFilter="0" pivotTables="0"/>
  <mergeCells count="8">
    <mergeCell ref="A11:J11"/>
    <mergeCell ref="G14:J18"/>
    <mergeCell ref="A1:J1"/>
    <mergeCell ref="A2:J2"/>
    <mergeCell ref="A4:B4"/>
    <mergeCell ref="D4:E4"/>
    <mergeCell ref="G4:H4"/>
    <mergeCell ref="I4:J4"/>
  </mergeCells>
  <conditionalFormatting sqref="B13">
    <cfRule type="cellIs" dxfId="3" priority="5" operator="lessThan">
      <formula>0</formula>
    </cfRule>
  </conditionalFormatting>
  <conditionalFormatting sqref="D15:D18">
    <cfRule type="cellIs" dxfId="2" priority="4" operator="lessThan">
      <formula>0</formula>
    </cfRule>
  </conditionalFormatting>
  <conditionalFormatting sqref="E8">
    <cfRule type="cellIs" dxfId="1" priority="1" operator="notEqual">
      <formula>1</formula>
    </cfRule>
  </conditionalFormatting>
  <conditionalFormatting sqref="E15:E18">
    <cfRule type="dataBar" priority="3">
      <dataBar>
        <cfvo type="min"/>
        <cfvo type="max"/>
        <color rgb="FFC95687"/>
      </dataBar>
    </cfRule>
    <cfRule type="dataBar" priority="6">
      <dataBar>
        <cfvo type="min"/>
        <cfvo type="max"/>
        <color rgb="FFC95687"/>
      </dataBar>
      <extLst>
        <ext xmlns:x14="http://schemas.microsoft.com/office/spreadsheetml/2009/9/main" uri="{B025F937-C7B1-47D3-B67F-A62EFF666E3E}">
          <x14:id>{C5593AA7-0028-5BEA-E3E0-8178783C1A47}</x14:id>
        </ext>
      </extLst>
    </cfRule>
  </conditionalFormatting>
  <conditionalFormatting sqref="H12">
    <cfRule type="cellIs" dxfId="0" priority="2"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5593AA7-0028-5BEA-E3E0-8178783C1A47}">
            <x14:dataBar>
              <x14:cfvo type="min"/>
              <x14:cfvo type="max"/>
              <x14:negativeFillColor auto="1"/>
              <x14:axisColor auto="1"/>
            </x14:dataBar>
          </x14:cfRule>
          <xm:sqref>E15:E18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5"/>
  <sheetViews>
    <sheetView workbookViewId="0"/>
  </sheetViews>
  <sheetFormatPr defaultRowHeight="13.8"/>
  <cols>
    <col min="1" max="1" width="15" customWidth="1"/>
    <col min="2" max="2" width="14" customWidth="1"/>
    <col min="3" max="3" width="30" customWidth="1"/>
    <col min="4" max="7" width="14" customWidth="1"/>
    <col min="8" max="8" width="12" customWidth="1"/>
    <col min="9" max="9" width="28" customWidth="1"/>
  </cols>
  <sheetData>
    <row r="1" spans="1:9" ht="22.35" customHeight="1">
      <c r="A1" s="16" t="s">
        <v>26</v>
      </c>
      <c r="B1" s="16"/>
      <c r="C1" s="16"/>
      <c r="D1" s="16"/>
      <c r="E1" s="16"/>
      <c r="F1" s="16"/>
      <c r="G1" s="16"/>
      <c r="H1" s="16"/>
      <c r="I1" s="16"/>
    </row>
    <row r="2" spans="1:9" ht="24" customHeight="1">
      <c r="A2" s="17" t="s">
        <v>27</v>
      </c>
      <c r="B2" s="17"/>
      <c r="C2" s="17"/>
      <c r="D2" s="17"/>
      <c r="E2" s="17"/>
      <c r="F2" s="17"/>
      <c r="G2" s="17"/>
      <c r="H2" s="17"/>
      <c r="I2" s="17"/>
    </row>
    <row r="3" spans="1:9" ht="17.55" customHeight="1">
      <c r="A3" s="20" t="s">
        <v>28</v>
      </c>
      <c r="B3" s="20"/>
      <c r="C3" s="20"/>
      <c r="D3" s="20"/>
      <c r="E3" s="20"/>
      <c r="F3" s="20"/>
      <c r="G3" s="20"/>
      <c r="H3" s="20"/>
      <c r="I3" s="20"/>
    </row>
    <row r="5" spans="1:9" ht="16.05" customHeight="1">
      <c r="A5" s="2" t="s">
        <v>29</v>
      </c>
      <c r="B5" s="2" t="s">
        <v>30</v>
      </c>
      <c r="C5" s="2" t="s">
        <v>31</v>
      </c>
      <c r="D5" s="2" t="s">
        <v>32</v>
      </c>
      <c r="E5" s="2" t="s">
        <v>33</v>
      </c>
      <c r="F5" s="2" t="s">
        <v>34</v>
      </c>
      <c r="G5" s="2" t="s">
        <v>35</v>
      </c>
      <c r="H5" s="2" t="s">
        <v>25</v>
      </c>
      <c r="I5" s="2" t="s">
        <v>36</v>
      </c>
    </row>
    <row r="6" spans="1:9" ht="16.05" customHeight="1">
      <c r="A6" s="14"/>
      <c r="B6" s="5"/>
      <c r="C6" s="5"/>
      <c r="D6" s="8"/>
      <c r="E6" s="7" t="str">
        <f>IF(OR(C6="",D6=""),"",IFERROR(D6/100*VLOOKUP(C6,'Food Database'!$A$6:$F$105,3,FALSE),""))</f>
        <v/>
      </c>
      <c r="F6" s="7" t="str">
        <f>IF(OR(C6="",D6=""),"",IFERROR(D6/100*VLOOKUP(C6,'Food Database'!$A$6:$F$105,5,FALSE),""))</f>
        <v/>
      </c>
      <c r="G6" s="7" t="str">
        <f>IF(OR(C6="",D6=""),"",IFERROR(D6/100*VLOOKUP(C6,'Food Database'!$A$6:$F$105,4,FALSE),""))</f>
        <v/>
      </c>
      <c r="H6" s="13" t="str">
        <f>IF(OR(C6="",D6=""),"",IFERROR(D6/100*VLOOKUP(C6,'Food Database'!$A$6:$F$105,6,FALSE),""))</f>
        <v/>
      </c>
      <c r="I6" s="5"/>
    </row>
    <row r="7" spans="1:9" ht="16.05" customHeight="1">
      <c r="A7" s="14"/>
      <c r="B7" s="5"/>
      <c r="C7" s="5"/>
      <c r="D7" s="8"/>
      <c r="E7" s="7" t="str">
        <f>IF(OR(C7="",D7=""),"",IFERROR(D7/100*VLOOKUP(C7,'Food Database'!$A$6:$F$105,3,FALSE),""))</f>
        <v/>
      </c>
      <c r="F7" s="7" t="str">
        <f>IF(OR(C7="",D7=""),"",IFERROR(D7/100*VLOOKUP(C7,'Food Database'!$A$6:$F$105,5,FALSE),""))</f>
        <v/>
      </c>
      <c r="G7" s="7" t="str">
        <f>IF(OR(C7="",D7=""),"",IFERROR(D7/100*VLOOKUP(C7,'Food Database'!$A$6:$F$105,4,FALSE),""))</f>
        <v/>
      </c>
      <c r="H7" s="13" t="str">
        <f>IF(OR(C7="",D7=""),"",IFERROR(D7/100*VLOOKUP(C7,'Food Database'!$A$6:$F$105,6,FALSE),""))</f>
        <v/>
      </c>
      <c r="I7" s="5"/>
    </row>
    <row r="8" spans="1:9" ht="16.05" customHeight="1">
      <c r="A8" s="14"/>
      <c r="B8" s="5"/>
      <c r="C8" s="5"/>
      <c r="D8" s="8"/>
      <c r="E8" s="7" t="str">
        <f>IF(OR(C8="",D8=""),"",IFERROR(D8/100*VLOOKUP(C8,'Food Database'!$A$6:$F$105,3,FALSE),""))</f>
        <v/>
      </c>
      <c r="F8" s="7" t="str">
        <f>IF(OR(C8="",D8=""),"",IFERROR(D8/100*VLOOKUP(C8,'Food Database'!$A$6:$F$105,5,FALSE),""))</f>
        <v/>
      </c>
      <c r="G8" s="7" t="str">
        <f>IF(OR(C8="",D8=""),"",IFERROR(D8/100*VLOOKUP(C8,'Food Database'!$A$6:$F$105,4,FALSE),""))</f>
        <v/>
      </c>
      <c r="H8" s="13" t="str">
        <f>IF(OR(C8="",D8=""),"",IFERROR(D8/100*VLOOKUP(C8,'Food Database'!$A$6:$F$105,6,FALSE),""))</f>
        <v/>
      </c>
      <c r="I8" s="5"/>
    </row>
    <row r="9" spans="1:9" ht="16.05" customHeight="1">
      <c r="A9" s="14"/>
      <c r="B9" s="5"/>
      <c r="C9" s="5"/>
      <c r="D9" s="8"/>
      <c r="E9" s="7" t="str">
        <f>IF(OR(C9="",D9=""),"",IFERROR(D9/100*VLOOKUP(C9,'Food Database'!$A$6:$F$105,3,FALSE),""))</f>
        <v/>
      </c>
      <c r="F9" s="7" t="str">
        <f>IF(OR(C9="",D9=""),"",IFERROR(D9/100*VLOOKUP(C9,'Food Database'!$A$6:$F$105,5,FALSE),""))</f>
        <v/>
      </c>
      <c r="G9" s="7" t="str">
        <f>IF(OR(C9="",D9=""),"",IFERROR(D9/100*VLOOKUP(C9,'Food Database'!$A$6:$F$105,4,FALSE),""))</f>
        <v/>
      </c>
      <c r="H9" s="13" t="str">
        <f>IF(OR(C9="",D9=""),"",IFERROR(D9/100*VLOOKUP(C9,'Food Database'!$A$6:$F$105,6,FALSE),""))</f>
        <v/>
      </c>
      <c r="I9" s="5"/>
    </row>
    <row r="10" spans="1:9" ht="16.05" customHeight="1">
      <c r="A10" s="14"/>
      <c r="B10" s="5"/>
      <c r="C10" s="5"/>
      <c r="D10" s="8"/>
      <c r="E10" s="7" t="str">
        <f>IF(OR(C10="",D10=""),"",IFERROR(D10/100*VLOOKUP(C10,'Food Database'!$A$6:$F$105,3,FALSE),""))</f>
        <v/>
      </c>
      <c r="F10" s="7" t="str">
        <f>IF(OR(C10="",D10=""),"",IFERROR(D10/100*VLOOKUP(C10,'Food Database'!$A$6:$F$105,5,FALSE),""))</f>
        <v/>
      </c>
      <c r="G10" s="7" t="str">
        <f>IF(OR(C10="",D10=""),"",IFERROR(D10/100*VLOOKUP(C10,'Food Database'!$A$6:$F$105,4,FALSE),""))</f>
        <v/>
      </c>
      <c r="H10" s="13" t="str">
        <f>IF(OR(C10="",D10=""),"",IFERROR(D10/100*VLOOKUP(C10,'Food Database'!$A$6:$F$105,6,FALSE),""))</f>
        <v/>
      </c>
      <c r="I10" s="5"/>
    </row>
    <row r="11" spans="1:9" ht="16.05" customHeight="1">
      <c r="A11" s="14"/>
      <c r="B11" s="5"/>
      <c r="C11" s="5"/>
      <c r="D11" s="8"/>
      <c r="E11" s="7" t="str">
        <f>IF(OR(C11="",D11=""),"",IFERROR(D11/100*VLOOKUP(C11,'Food Database'!$A$6:$F$105,3,FALSE),""))</f>
        <v/>
      </c>
      <c r="F11" s="7" t="str">
        <f>IF(OR(C11="",D11=""),"",IFERROR(D11/100*VLOOKUP(C11,'Food Database'!$A$6:$F$105,5,FALSE),""))</f>
        <v/>
      </c>
      <c r="G11" s="7" t="str">
        <f>IF(OR(C11="",D11=""),"",IFERROR(D11/100*VLOOKUP(C11,'Food Database'!$A$6:$F$105,4,FALSE),""))</f>
        <v/>
      </c>
      <c r="H11" s="13" t="str">
        <f>IF(OR(C11="",D11=""),"",IFERROR(D11/100*VLOOKUP(C11,'Food Database'!$A$6:$F$105,6,FALSE),""))</f>
        <v/>
      </c>
      <c r="I11" s="5"/>
    </row>
    <row r="12" spans="1:9" ht="16.05" customHeight="1">
      <c r="A12" s="14"/>
      <c r="B12" s="5"/>
      <c r="C12" s="5"/>
      <c r="D12" s="8"/>
      <c r="E12" s="7" t="str">
        <f>IF(OR(C12="",D12=""),"",IFERROR(D12/100*VLOOKUP(C12,'Food Database'!$A$6:$F$105,3,FALSE),""))</f>
        <v/>
      </c>
      <c r="F12" s="7" t="str">
        <f>IF(OR(C12="",D12=""),"",IFERROR(D12/100*VLOOKUP(C12,'Food Database'!$A$6:$F$105,5,FALSE),""))</f>
        <v/>
      </c>
      <c r="G12" s="7" t="str">
        <f>IF(OR(C12="",D12=""),"",IFERROR(D12/100*VLOOKUP(C12,'Food Database'!$A$6:$F$105,4,FALSE),""))</f>
        <v/>
      </c>
      <c r="H12" s="13" t="str">
        <f>IF(OR(C12="",D12=""),"",IFERROR(D12/100*VLOOKUP(C12,'Food Database'!$A$6:$F$105,6,FALSE),""))</f>
        <v/>
      </c>
      <c r="I12" s="5"/>
    </row>
    <row r="13" spans="1:9" ht="16.05" customHeight="1">
      <c r="A13" s="14"/>
      <c r="B13" s="5"/>
      <c r="C13" s="5"/>
      <c r="D13" s="8"/>
      <c r="E13" s="7" t="str">
        <f>IF(OR(C13="",D13=""),"",IFERROR(D13/100*VLOOKUP(C13,'Food Database'!$A$6:$F$105,3,FALSE),""))</f>
        <v/>
      </c>
      <c r="F13" s="7" t="str">
        <f>IF(OR(C13="",D13=""),"",IFERROR(D13/100*VLOOKUP(C13,'Food Database'!$A$6:$F$105,5,FALSE),""))</f>
        <v/>
      </c>
      <c r="G13" s="7" t="str">
        <f>IF(OR(C13="",D13=""),"",IFERROR(D13/100*VLOOKUP(C13,'Food Database'!$A$6:$F$105,4,FALSE),""))</f>
        <v/>
      </c>
      <c r="H13" s="13" t="str">
        <f>IF(OR(C13="",D13=""),"",IFERROR(D13/100*VLOOKUP(C13,'Food Database'!$A$6:$F$105,6,FALSE),""))</f>
        <v/>
      </c>
      <c r="I13" s="5"/>
    </row>
    <row r="14" spans="1:9" ht="16.05" customHeight="1">
      <c r="A14" s="14"/>
      <c r="B14" s="5"/>
      <c r="C14" s="5"/>
      <c r="D14" s="8"/>
      <c r="E14" s="7" t="str">
        <f>IF(OR(C14="",D14=""),"",IFERROR(D14/100*VLOOKUP(C14,'Food Database'!$A$6:$F$105,3,FALSE),""))</f>
        <v/>
      </c>
      <c r="F14" s="7" t="str">
        <f>IF(OR(C14="",D14=""),"",IFERROR(D14/100*VLOOKUP(C14,'Food Database'!$A$6:$F$105,5,FALSE),""))</f>
        <v/>
      </c>
      <c r="G14" s="7" t="str">
        <f>IF(OR(C14="",D14=""),"",IFERROR(D14/100*VLOOKUP(C14,'Food Database'!$A$6:$F$105,4,FALSE),""))</f>
        <v/>
      </c>
      <c r="H14" s="13" t="str">
        <f>IF(OR(C14="",D14=""),"",IFERROR(D14/100*VLOOKUP(C14,'Food Database'!$A$6:$F$105,6,FALSE),""))</f>
        <v/>
      </c>
      <c r="I14" s="5"/>
    </row>
    <row r="15" spans="1:9" ht="16.05" customHeight="1">
      <c r="A15" s="14"/>
      <c r="B15" s="5"/>
      <c r="C15" s="5"/>
      <c r="D15" s="8"/>
      <c r="E15" s="7" t="str">
        <f>IF(OR(C15="",D15=""),"",IFERROR(D15/100*VLOOKUP(C15,'Food Database'!$A$6:$F$105,3,FALSE),""))</f>
        <v/>
      </c>
      <c r="F15" s="7" t="str">
        <f>IF(OR(C15="",D15=""),"",IFERROR(D15/100*VLOOKUP(C15,'Food Database'!$A$6:$F$105,5,FALSE),""))</f>
        <v/>
      </c>
      <c r="G15" s="7" t="str">
        <f>IF(OR(C15="",D15=""),"",IFERROR(D15/100*VLOOKUP(C15,'Food Database'!$A$6:$F$105,4,FALSE),""))</f>
        <v/>
      </c>
      <c r="H15" s="13" t="str">
        <f>IF(OR(C15="",D15=""),"",IFERROR(D15/100*VLOOKUP(C15,'Food Database'!$A$6:$F$105,6,FALSE),""))</f>
        <v/>
      </c>
      <c r="I15" s="5"/>
    </row>
    <row r="16" spans="1:9" ht="16.05" customHeight="1">
      <c r="A16" s="14"/>
      <c r="B16" s="5"/>
      <c r="C16" s="5"/>
      <c r="D16" s="8"/>
      <c r="E16" s="7" t="str">
        <f>IF(OR(C16="",D16=""),"",IFERROR(D16/100*VLOOKUP(C16,'Food Database'!$A$6:$F$105,3,FALSE),""))</f>
        <v/>
      </c>
      <c r="F16" s="7" t="str">
        <f>IF(OR(C16="",D16=""),"",IFERROR(D16/100*VLOOKUP(C16,'Food Database'!$A$6:$F$105,5,FALSE),""))</f>
        <v/>
      </c>
      <c r="G16" s="7" t="str">
        <f>IF(OR(C16="",D16=""),"",IFERROR(D16/100*VLOOKUP(C16,'Food Database'!$A$6:$F$105,4,FALSE),""))</f>
        <v/>
      </c>
      <c r="H16" s="13" t="str">
        <f>IF(OR(C16="",D16=""),"",IFERROR(D16/100*VLOOKUP(C16,'Food Database'!$A$6:$F$105,6,FALSE),""))</f>
        <v/>
      </c>
      <c r="I16" s="5"/>
    </row>
    <row r="17" spans="1:9" ht="16.05" customHeight="1">
      <c r="A17" s="14"/>
      <c r="B17" s="5"/>
      <c r="C17" s="5"/>
      <c r="D17" s="8"/>
      <c r="E17" s="7" t="str">
        <f>IF(OR(C17="",D17=""),"",IFERROR(D17/100*VLOOKUP(C17,'Food Database'!$A$6:$F$105,3,FALSE),""))</f>
        <v/>
      </c>
      <c r="F17" s="7" t="str">
        <f>IF(OR(C17="",D17=""),"",IFERROR(D17/100*VLOOKUP(C17,'Food Database'!$A$6:$F$105,5,FALSE),""))</f>
        <v/>
      </c>
      <c r="G17" s="7" t="str">
        <f>IF(OR(C17="",D17=""),"",IFERROR(D17/100*VLOOKUP(C17,'Food Database'!$A$6:$F$105,4,FALSE),""))</f>
        <v/>
      </c>
      <c r="H17" s="13" t="str">
        <f>IF(OR(C17="",D17=""),"",IFERROR(D17/100*VLOOKUP(C17,'Food Database'!$A$6:$F$105,6,FALSE),""))</f>
        <v/>
      </c>
      <c r="I17" s="5"/>
    </row>
    <row r="18" spans="1:9" ht="16.05" customHeight="1">
      <c r="A18" s="14"/>
      <c r="B18" s="5"/>
      <c r="C18" s="5"/>
      <c r="D18" s="8"/>
      <c r="E18" s="7" t="str">
        <f>IF(OR(C18="",D18=""),"",IFERROR(D18/100*VLOOKUP(C18,'Food Database'!$A$6:$F$105,3,FALSE),""))</f>
        <v/>
      </c>
      <c r="F18" s="7" t="str">
        <f>IF(OR(C18="",D18=""),"",IFERROR(D18/100*VLOOKUP(C18,'Food Database'!$A$6:$F$105,5,FALSE),""))</f>
        <v/>
      </c>
      <c r="G18" s="7" t="str">
        <f>IF(OR(C18="",D18=""),"",IFERROR(D18/100*VLOOKUP(C18,'Food Database'!$A$6:$F$105,4,FALSE),""))</f>
        <v/>
      </c>
      <c r="H18" s="13" t="str">
        <f>IF(OR(C18="",D18=""),"",IFERROR(D18/100*VLOOKUP(C18,'Food Database'!$A$6:$F$105,6,FALSE),""))</f>
        <v/>
      </c>
      <c r="I18" s="5"/>
    </row>
    <row r="19" spans="1:9" ht="16.05" customHeight="1">
      <c r="A19" s="14"/>
      <c r="B19" s="5"/>
      <c r="C19" s="5"/>
      <c r="D19" s="8"/>
      <c r="E19" s="7" t="str">
        <f>IF(OR(C19="",D19=""),"",IFERROR(D19/100*VLOOKUP(C19,'Food Database'!$A$6:$F$105,3,FALSE),""))</f>
        <v/>
      </c>
      <c r="F19" s="7" t="str">
        <f>IF(OR(C19="",D19=""),"",IFERROR(D19/100*VLOOKUP(C19,'Food Database'!$A$6:$F$105,5,FALSE),""))</f>
        <v/>
      </c>
      <c r="G19" s="7" t="str">
        <f>IF(OR(C19="",D19=""),"",IFERROR(D19/100*VLOOKUP(C19,'Food Database'!$A$6:$F$105,4,FALSE),""))</f>
        <v/>
      </c>
      <c r="H19" s="13" t="str">
        <f>IF(OR(C19="",D19=""),"",IFERROR(D19/100*VLOOKUP(C19,'Food Database'!$A$6:$F$105,6,FALSE),""))</f>
        <v/>
      </c>
      <c r="I19" s="5"/>
    </row>
    <row r="20" spans="1:9" ht="16.05" customHeight="1">
      <c r="A20" s="14"/>
      <c r="B20" s="5"/>
      <c r="C20" s="5"/>
      <c r="D20" s="8"/>
      <c r="E20" s="7" t="str">
        <f>IF(OR(C20="",D20=""),"",IFERROR(D20/100*VLOOKUP(C20,'Food Database'!$A$6:$F$105,3,FALSE),""))</f>
        <v/>
      </c>
      <c r="F20" s="7" t="str">
        <f>IF(OR(C20="",D20=""),"",IFERROR(D20/100*VLOOKUP(C20,'Food Database'!$A$6:$F$105,5,FALSE),""))</f>
        <v/>
      </c>
      <c r="G20" s="7" t="str">
        <f>IF(OR(C20="",D20=""),"",IFERROR(D20/100*VLOOKUP(C20,'Food Database'!$A$6:$F$105,4,FALSE),""))</f>
        <v/>
      </c>
      <c r="H20" s="13" t="str">
        <f>IF(OR(C20="",D20=""),"",IFERROR(D20/100*VLOOKUP(C20,'Food Database'!$A$6:$F$105,6,FALSE),""))</f>
        <v/>
      </c>
      <c r="I20" s="5"/>
    </row>
    <row r="21" spans="1:9" ht="16.05" customHeight="1">
      <c r="A21" s="14"/>
      <c r="B21" s="5"/>
      <c r="C21" s="5"/>
      <c r="D21" s="8"/>
      <c r="E21" s="7" t="str">
        <f>IF(OR(C21="",D21=""),"",IFERROR(D21/100*VLOOKUP(C21,'Food Database'!$A$6:$F$105,3,FALSE),""))</f>
        <v/>
      </c>
      <c r="F21" s="7" t="str">
        <f>IF(OR(C21="",D21=""),"",IFERROR(D21/100*VLOOKUP(C21,'Food Database'!$A$6:$F$105,5,FALSE),""))</f>
        <v/>
      </c>
      <c r="G21" s="7" t="str">
        <f>IF(OR(C21="",D21=""),"",IFERROR(D21/100*VLOOKUP(C21,'Food Database'!$A$6:$F$105,4,FALSE),""))</f>
        <v/>
      </c>
      <c r="H21" s="13" t="str">
        <f>IF(OR(C21="",D21=""),"",IFERROR(D21/100*VLOOKUP(C21,'Food Database'!$A$6:$F$105,6,FALSE),""))</f>
        <v/>
      </c>
      <c r="I21" s="5"/>
    </row>
    <row r="22" spans="1:9" ht="16.05" customHeight="1">
      <c r="A22" s="14"/>
      <c r="B22" s="5"/>
      <c r="C22" s="5"/>
      <c r="D22" s="8"/>
      <c r="E22" s="7" t="str">
        <f>IF(OR(C22="",D22=""),"",IFERROR(D22/100*VLOOKUP(C22,'Food Database'!$A$6:$F$105,3,FALSE),""))</f>
        <v/>
      </c>
      <c r="F22" s="7" t="str">
        <f>IF(OR(C22="",D22=""),"",IFERROR(D22/100*VLOOKUP(C22,'Food Database'!$A$6:$F$105,5,FALSE),""))</f>
        <v/>
      </c>
      <c r="G22" s="7" t="str">
        <f>IF(OR(C22="",D22=""),"",IFERROR(D22/100*VLOOKUP(C22,'Food Database'!$A$6:$F$105,4,FALSE),""))</f>
        <v/>
      </c>
      <c r="H22" s="13" t="str">
        <f>IF(OR(C22="",D22=""),"",IFERROR(D22/100*VLOOKUP(C22,'Food Database'!$A$6:$F$105,6,FALSE),""))</f>
        <v/>
      </c>
      <c r="I22" s="5"/>
    </row>
    <row r="23" spans="1:9" ht="16.05" customHeight="1">
      <c r="A23" s="14"/>
      <c r="B23" s="5"/>
      <c r="C23" s="5"/>
      <c r="D23" s="8"/>
      <c r="E23" s="7" t="str">
        <f>IF(OR(C23="",D23=""),"",IFERROR(D23/100*VLOOKUP(C23,'Food Database'!$A$6:$F$105,3,FALSE),""))</f>
        <v/>
      </c>
      <c r="F23" s="7" t="str">
        <f>IF(OR(C23="",D23=""),"",IFERROR(D23/100*VLOOKUP(C23,'Food Database'!$A$6:$F$105,5,FALSE),""))</f>
        <v/>
      </c>
      <c r="G23" s="7" t="str">
        <f>IF(OR(C23="",D23=""),"",IFERROR(D23/100*VLOOKUP(C23,'Food Database'!$A$6:$F$105,4,FALSE),""))</f>
        <v/>
      </c>
      <c r="H23" s="13" t="str">
        <f>IF(OR(C23="",D23=""),"",IFERROR(D23/100*VLOOKUP(C23,'Food Database'!$A$6:$F$105,6,FALSE),""))</f>
        <v/>
      </c>
      <c r="I23" s="5"/>
    </row>
    <row r="24" spans="1:9" ht="16.05" customHeight="1">
      <c r="A24" s="14"/>
      <c r="B24" s="5"/>
      <c r="C24" s="5"/>
      <c r="D24" s="8"/>
      <c r="E24" s="7" t="str">
        <f>IF(OR(C24="",D24=""),"",IFERROR(D24/100*VLOOKUP(C24,'Food Database'!$A$6:$F$105,3,FALSE),""))</f>
        <v/>
      </c>
      <c r="F24" s="7" t="str">
        <f>IF(OR(C24="",D24=""),"",IFERROR(D24/100*VLOOKUP(C24,'Food Database'!$A$6:$F$105,5,FALSE),""))</f>
        <v/>
      </c>
      <c r="G24" s="7" t="str">
        <f>IF(OR(C24="",D24=""),"",IFERROR(D24/100*VLOOKUP(C24,'Food Database'!$A$6:$F$105,4,FALSE),""))</f>
        <v/>
      </c>
      <c r="H24" s="13" t="str">
        <f>IF(OR(C24="",D24=""),"",IFERROR(D24/100*VLOOKUP(C24,'Food Database'!$A$6:$F$105,6,FALSE),""))</f>
        <v/>
      </c>
      <c r="I24" s="5"/>
    </row>
    <row r="25" spans="1:9" ht="16.05" customHeight="1">
      <c r="A25" s="14"/>
      <c r="B25" s="5"/>
      <c r="C25" s="5"/>
      <c r="D25" s="8"/>
      <c r="E25" s="7" t="str">
        <f>IF(OR(C25="",D25=""),"",IFERROR(D25/100*VLOOKUP(C25,'Food Database'!$A$6:$F$105,3,FALSE),""))</f>
        <v/>
      </c>
      <c r="F25" s="7" t="str">
        <f>IF(OR(C25="",D25=""),"",IFERROR(D25/100*VLOOKUP(C25,'Food Database'!$A$6:$F$105,5,FALSE),""))</f>
        <v/>
      </c>
      <c r="G25" s="7" t="str">
        <f>IF(OR(C25="",D25=""),"",IFERROR(D25/100*VLOOKUP(C25,'Food Database'!$A$6:$F$105,4,FALSE),""))</f>
        <v/>
      </c>
      <c r="H25" s="13" t="str">
        <f>IF(OR(C25="",D25=""),"",IFERROR(D25/100*VLOOKUP(C25,'Food Database'!$A$6:$F$105,6,FALSE),""))</f>
        <v/>
      </c>
      <c r="I25" s="5"/>
    </row>
    <row r="26" spans="1:9" ht="16.05" customHeight="1">
      <c r="A26" s="14"/>
      <c r="B26" s="5"/>
      <c r="C26" s="5"/>
      <c r="D26" s="8"/>
      <c r="E26" s="7" t="str">
        <f>IF(OR(C26="",D26=""),"",IFERROR(D26/100*VLOOKUP(C26,'Food Database'!$A$6:$F$105,3,FALSE),""))</f>
        <v/>
      </c>
      <c r="F26" s="7" t="str">
        <f>IF(OR(C26="",D26=""),"",IFERROR(D26/100*VLOOKUP(C26,'Food Database'!$A$6:$F$105,5,FALSE),""))</f>
        <v/>
      </c>
      <c r="G26" s="7" t="str">
        <f>IF(OR(C26="",D26=""),"",IFERROR(D26/100*VLOOKUP(C26,'Food Database'!$A$6:$F$105,4,FALSE),""))</f>
        <v/>
      </c>
      <c r="H26" s="13" t="str">
        <f>IF(OR(C26="",D26=""),"",IFERROR(D26/100*VLOOKUP(C26,'Food Database'!$A$6:$F$105,6,FALSE),""))</f>
        <v/>
      </c>
      <c r="I26" s="5"/>
    </row>
    <row r="27" spans="1:9" ht="16.05" customHeight="1">
      <c r="A27" s="14"/>
      <c r="B27" s="5"/>
      <c r="C27" s="5"/>
      <c r="D27" s="8"/>
      <c r="E27" s="7" t="str">
        <f>IF(OR(C27="",D27=""),"",IFERROR(D27/100*VLOOKUP(C27,'Food Database'!$A$6:$F$105,3,FALSE),""))</f>
        <v/>
      </c>
      <c r="F27" s="7" t="str">
        <f>IF(OR(C27="",D27=""),"",IFERROR(D27/100*VLOOKUP(C27,'Food Database'!$A$6:$F$105,5,FALSE),""))</f>
        <v/>
      </c>
      <c r="G27" s="7" t="str">
        <f>IF(OR(C27="",D27=""),"",IFERROR(D27/100*VLOOKUP(C27,'Food Database'!$A$6:$F$105,4,FALSE),""))</f>
        <v/>
      </c>
      <c r="H27" s="13" t="str">
        <f>IF(OR(C27="",D27=""),"",IFERROR(D27/100*VLOOKUP(C27,'Food Database'!$A$6:$F$105,6,FALSE),""))</f>
        <v/>
      </c>
      <c r="I27" s="5"/>
    </row>
    <row r="28" spans="1:9" ht="16.05" customHeight="1">
      <c r="A28" s="14"/>
      <c r="B28" s="5"/>
      <c r="C28" s="5"/>
      <c r="D28" s="8"/>
      <c r="E28" s="7" t="str">
        <f>IF(OR(C28="",D28=""),"",IFERROR(D28/100*VLOOKUP(C28,'Food Database'!$A$6:$F$105,3,FALSE),""))</f>
        <v/>
      </c>
      <c r="F28" s="7" t="str">
        <f>IF(OR(C28="",D28=""),"",IFERROR(D28/100*VLOOKUP(C28,'Food Database'!$A$6:$F$105,5,FALSE),""))</f>
        <v/>
      </c>
      <c r="G28" s="7" t="str">
        <f>IF(OR(C28="",D28=""),"",IFERROR(D28/100*VLOOKUP(C28,'Food Database'!$A$6:$F$105,4,FALSE),""))</f>
        <v/>
      </c>
      <c r="H28" s="13" t="str">
        <f>IF(OR(C28="",D28=""),"",IFERROR(D28/100*VLOOKUP(C28,'Food Database'!$A$6:$F$105,6,FALSE),""))</f>
        <v/>
      </c>
      <c r="I28" s="5"/>
    </row>
    <row r="29" spans="1:9" ht="16.05" customHeight="1">
      <c r="A29" s="14"/>
      <c r="B29" s="5"/>
      <c r="C29" s="5"/>
      <c r="D29" s="8"/>
      <c r="E29" s="7" t="str">
        <f>IF(OR(C29="",D29=""),"",IFERROR(D29/100*VLOOKUP(C29,'Food Database'!$A$6:$F$105,3,FALSE),""))</f>
        <v/>
      </c>
      <c r="F29" s="7" t="str">
        <f>IF(OR(C29="",D29=""),"",IFERROR(D29/100*VLOOKUP(C29,'Food Database'!$A$6:$F$105,5,FALSE),""))</f>
        <v/>
      </c>
      <c r="G29" s="7" t="str">
        <f>IF(OR(C29="",D29=""),"",IFERROR(D29/100*VLOOKUP(C29,'Food Database'!$A$6:$F$105,4,FALSE),""))</f>
        <v/>
      </c>
      <c r="H29" s="13" t="str">
        <f>IF(OR(C29="",D29=""),"",IFERROR(D29/100*VLOOKUP(C29,'Food Database'!$A$6:$F$105,6,FALSE),""))</f>
        <v/>
      </c>
      <c r="I29" s="5"/>
    </row>
    <row r="30" spans="1:9" ht="16.05" customHeight="1">
      <c r="A30" s="14"/>
      <c r="B30" s="5"/>
      <c r="C30" s="5"/>
      <c r="D30" s="8"/>
      <c r="E30" s="7" t="str">
        <f>IF(OR(C30="",D30=""),"",IFERROR(D30/100*VLOOKUP(C30,'Food Database'!$A$6:$F$105,3,FALSE),""))</f>
        <v/>
      </c>
      <c r="F30" s="7" t="str">
        <f>IF(OR(C30="",D30=""),"",IFERROR(D30/100*VLOOKUP(C30,'Food Database'!$A$6:$F$105,5,FALSE),""))</f>
        <v/>
      </c>
      <c r="G30" s="7" t="str">
        <f>IF(OR(C30="",D30=""),"",IFERROR(D30/100*VLOOKUP(C30,'Food Database'!$A$6:$F$105,4,FALSE),""))</f>
        <v/>
      </c>
      <c r="H30" s="13" t="str">
        <f>IF(OR(C30="",D30=""),"",IFERROR(D30/100*VLOOKUP(C30,'Food Database'!$A$6:$F$105,6,FALSE),""))</f>
        <v/>
      </c>
      <c r="I30" s="5"/>
    </row>
    <row r="31" spans="1:9" ht="16.05" customHeight="1">
      <c r="A31" s="14"/>
      <c r="B31" s="5"/>
      <c r="C31" s="5"/>
      <c r="D31" s="8"/>
      <c r="E31" s="7" t="str">
        <f>IF(OR(C31="",D31=""),"",IFERROR(D31/100*VLOOKUP(C31,'Food Database'!$A$6:$F$105,3,FALSE),""))</f>
        <v/>
      </c>
      <c r="F31" s="7" t="str">
        <f>IF(OR(C31="",D31=""),"",IFERROR(D31/100*VLOOKUP(C31,'Food Database'!$A$6:$F$105,5,FALSE),""))</f>
        <v/>
      </c>
      <c r="G31" s="7" t="str">
        <f>IF(OR(C31="",D31=""),"",IFERROR(D31/100*VLOOKUP(C31,'Food Database'!$A$6:$F$105,4,FALSE),""))</f>
        <v/>
      </c>
      <c r="H31" s="13" t="str">
        <f>IF(OR(C31="",D31=""),"",IFERROR(D31/100*VLOOKUP(C31,'Food Database'!$A$6:$F$105,6,FALSE),""))</f>
        <v/>
      </c>
      <c r="I31" s="5"/>
    </row>
    <row r="32" spans="1:9" ht="16.05" customHeight="1">
      <c r="A32" s="14"/>
      <c r="B32" s="5"/>
      <c r="C32" s="5"/>
      <c r="D32" s="8"/>
      <c r="E32" s="7" t="str">
        <f>IF(OR(C32="",D32=""),"",IFERROR(D32/100*VLOOKUP(C32,'Food Database'!$A$6:$F$105,3,FALSE),""))</f>
        <v/>
      </c>
      <c r="F32" s="7" t="str">
        <f>IF(OR(C32="",D32=""),"",IFERROR(D32/100*VLOOKUP(C32,'Food Database'!$A$6:$F$105,5,FALSE),""))</f>
        <v/>
      </c>
      <c r="G32" s="7" t="str">
        <f>IF(OR(C32="",D32=""),"",IFERROR(D32/100*VLOOKUP(C32,'Food Database'!$A$6:$F$105,4,FALSE),""))</f>
        <v/>
      </c>
      <c r="H32" s="13" t="str">
        <f>IF(OR(C32="",D32=""),"",IFERROR(D32/100*VLOOKUP(C32,'Food Database'!$A$6:$F$105,6,FALSE),""))</f>
        <v/>
      </c>
      <c r="I32" s="5"/>
    </row>
    <row r="33" spans="1:9" ht="16.05" customHeight="1">
      <c r="A33" s="14"/>
      <c r="B33" s="5"/>
      <c r="C33" s="5"/>
      <c r="D33" s="8"/>
      <c r="E33" s="7" t="str">
        <f>IF(OR(C33="",D33=""),"",IFERROR(D33/100*VLOOKUP(C33,'Food Database'!$A$6:$F$105,3,FALSE),""))</f>
        <v/>
      </c>
      <c r="F33" s="7" t="str">
        <f>IF(OR(C33="",D33=""),"",IFERROR(D33/100*VLOOKUP(C33,'Food Database'!$A$6:$F$105,5,FALSE),""))</f>
        <v/>
      </c>
      <c r="G33" s="7" t="str">
        <f>IF(OR(C33="",D33=""),"",IFERROR(D33/100*VLOOKUP(C33,'Food Database'!$A$6:$F$105,4,FALSE),""))</f>
        <v/>
      </c>
      <c r="H33" s="13" t="str">
        <f>IF(OR(C33="",D33=""),"",IFERROR(D33/100*VLOOKUP(C33,'Food Database'!$A$6:$F$105,6,FALSE),""))</f>
        <v/>
      </c>
      <c r="I33" s="5"/>
    </row>
    <row r="34" spans="1:9" ht="16.05" customHeight="1">
      <c r="A34" s="14"/>
      <c r="B34" s="5"/>
      <c r="C34" s="5"/>
      <c r="D34" s="8"/>
      <c r="E34" s="7" t="str">
        <f>IF(OR(C34="",D34=""),"",IFERROR(D34/100*VLOOKUP(C34,'Food Database'!$A$6:$F$105,3,FALSE),""))</f>
        <v/>
      </c>
      <c r="F34" s="7" t="str">
        <f>IF(OR(C34="",D34=""),"",IFERROR(D34/100*VLOOKUP(C34,'Food Database'!$A$6:$F$105,5,FALSE),""))</f>
        <v/>
      </c>
      <c r="G34" s="7" t="str">
        <f>IF(OR(C34="",D34=""),"",IFERROR(D34/100*VLOOKUP(C34,'Food Database'!$A$6:$F$105,4,FALSE),""))</f>
        <v/>
      </c>
      <c r="H34" s="13" t="str">
        <f>IF(OR(C34="",D34=""),"",IFERROR(D34/100*VLOOKUP(C34,'Food Database'!$A$6:$F$105,6,FALSE),""))</f>
        <v/>
      </c>
      <c r="I34" s="5"/>
    </row>
    <row r="35" spans="1:9" ht="16.05" customHeight="1">
      <c r="A35" s="14"/>
      <c r="B35" s="5"/>
      <c r="C35" s="5"/>
      <c r="D35" s="8"/>
      <c r="E35" s="7" t="str">
        <f>IF(OR(C35="",D35=""),"",IFERROR(D35/100*VLOOKUP(C35,'Food Database'!$A$6:$F$105,3,FALSE),""))</f>
        <v/>
      </c>
      <c r="F35" s="7" t="str">
        <f>IF(OR(C35="",D35=""),"",IFERROR(D35/100*VLOOKUP(C35,'Food Database'!$A$6:$F$105,5,FALSE),""))</f>
        <v/>
      </c>
      <c r="G35" s="7" t="str">
        <f>IF(OR(C35="",D35=""),"",IFERROR(D35/100*VLOOKUP(C35,'Food Database'!$A$6:$F$105,4,FALSE),""))</f>
        <v/>
      </c>
      <c r="H35" s="13" t="str">
        <f>IF(OR(C35="",D35=""),"",IFERROR(D35/100*VLOOKUP(C35,'Food Database'!$A$6:$F$105,6,FALSE),""))</f>
        <v/>
      </c>
      <c r="I35" s="5"/>
    </row>
    <row r="36" spans="1:9" ht="16.05" customHeight="1">
      <c r="A36" s="14"/>
      <c r="B36" s="5"/>
      <c r="C36" s="5"/>
      <c r="D36" s="8"/>
      <c r="E36" s="7" t="str">
        <f>IF(OR(C36="",D36=""),"",IFERROR(D36/100*VLOOKUP(C36,'Food Database'!$A$6:$F$105,3,FALSE),""))</f>
        <v/>
      </c>
      <c r="F36" s="7" t="str">
        <f>IF(OR(C36="",D36=""),"",IFERROR(D36/100*VLOOKUP(C36,'Food Database'!$A$6:$F$105,5,FALSE),""))</f>
        <v/>
      </c>
      <c r="G36" s="7" t="str">
        <f>IF(OR(C36="",D36=""),"",IFERROR(D36/100*VLOOKUP(C36,'Food Database'!$A$6:$F$105,4,FALSE),""))</f>
        <v/>
      </c>
      <c r="H36" s="13" t="str">
        <f>IF(OR(C36="",D36=""),"",IFERROR(D36/100*VLOOKUP(C36,'Food Database'!$A$6:$F$105,6,FALSE),""))</f>
        <v/>
      </c>
      <c r="I36" s="5"/>
    </row>
    <row r="37" spans="1:9" ht="16.05" customHeight="1">
      <c r="A37" s="14"/>
      <c r="B37" s="5"/>
      <c r="C37" s="5"/>
      <c r="D37" s="8"/>
      <c r="E37" s="7" t="str">
        <f>IF(OR(C37="",D37=""),"",IFERROR(D37/100*VLOOKUP(C37,'Food Database'!$A$6:$F$105,3,FALSE),""))</f>
        <v/>
      </c>
      <c r="F37" s="7" t="str">
        <f>IF(OR(C37="",D37=""),"",IFERROR(D37/100*VLOOKUP(C37,'Food Database'!$A$6:$F$105,5,FALSE),""))</f>
        <v/>
      </c>
      <c r="G37" s="7" t="str">
        <f>IF(OR(C37="",D37=""),"",IFERROR(D37/100*VLOOKUP(C37,'Food Database'!$A$6:$F$105,4,FALSE),""))</f>
        <v/>
      </c>
      <c r="H37" s="13" t="str">
        <f>IF(OR(C37="",D37=""),"",IFERROR(D37/100*VLOOKUP(C37,'Food Database'!$A$6:$F$105,6,FALSE),""))</f>
        <v/>
      </c>
      <c r="I37" s="5"/>
    </row>
    <row r="38" spans="1:9" ht="16.05" customHeight="1">
      <c r="A38" s="14"/>
      <c r="B38" s="5"/>
      <c r="C38" s="5"/>
      <c r="D38" s="8"/>
      <c r="E38" s="7" t="str">
        <f>IF(OR(C38="",D38=""),"",IFERROR(D38/100*VLOOKUP(C38,'Food Database'!$A$6:$F$105,3,FALSE),""))</f>
        <v/>
      </c>
      <c r="F38" s="7" t="str">
        <f>IF(OR(C38="",D38=""),"",IFERROR(D38/100*VLOOKUP(C38,'Food Database'!$A$6:$F$105,5,FALSE),""))</f>
        <v/>
      </c>
      <c r="G38" s="7" t="str">
        <f>IF(OR(C38="",D38=""),"",IFERROR(D38/100*VLOOKUP(C38,'Food Database'!$A$6:$F$105,4,FALSE),""))</f>
        <v/>
      </c>
      <c r="H38" s="13" t="str">
        <f>IF(OR(C38="",D38=""),"",IFERROR(D38/100*VLOOKUP(C38,'Food Database'!$A$6:$F$105,6,FALSE),""))</f>
        <v/>
      </c>
      <c r="I38" s="5"/>
    </row>
    <row r="39" spans="1:9" ht="16.05" customHeight="1">
      <c r="A39" s="14"/>
      <c r="B39" s="5"/>
      <c r="C39" s="5"/>
      <c r="D39" s="8"/>
      <c r="E39" s="7" t="str">
        <f>IF(OR(C39="",D39=""),"",IFERROR(D39/100*VLOOKUP(C39,'Food Database'!$A$6:$F$105,3,FALSE),""))</f>
        <v/>
      </c>
      <c r="F39" s="7" t="str">
        <f>IF(OR(C39="",D39=""),"",IFERROR(D39/100*VLOOKUP(C39,'Food Database'!$A$6:$F$105,5,FALSE),""))</f>
        <v/>
      </c>
      <c r="G39" s="7" t="str">
        <f>IF(OR(C39="",D39=""),"",IFERROR(D39/100*VLOOKUP(C39,'Food Database'!$A$6:$F$105,4,FALSE),""))</f>
        <v/>
      </c>
      <c r="H39" s="13" t="str">
        <f>IF(OR(C39="",D39=""),"",IFERROR(D39/100*VLOOKUP(C39,'Food Database'!$A$6:$F$105,6,FALSE),""))</f>
        <v/>
      </c>
      <c r="I39" s="5"/>
    </row>
    <row r="40" spans="1:9" ht="16.05" customHeight="1">
      <c r="A40" s="14"/>
      <c r="B40" s="5"/>
      <c r="C40" s="5"/>
      <c r="D40" s="8"/>
      <c r="E40" s="7" t="str">
        <f>IF(OR(C40="",D40=""),"",IFERROR(D40/100*VLOOKUP(C40,'Food Database'!$A$6:$F$105,3,FALSE),""))</f>
        <v/>
      </c>
      <c r="F40" s="7" t="str">
        <f>IF(OR(C40="",D40=""),"",IFERROR(D40/100*VLOOKUP(C40,'Food Database'!$A$6:$F$105,5,FALSE),""))</f>
        <v/>
      </c>
      <c r="G40" s="7" t="str">
        <f>IF(OR(C40="",D40=""),"",IFERROR(D40/100*VLOOKUP(C40,'Food Database'!$A$6:$F$105,4,FALSE),""))</f>
        <v/>
      </c>
      <c r="H40" s="13" t="str">
        <f>IF(OR(C40="",D40=""),"",IFERROR(D40/100*VLOOKUP(C40,'Food Database'!$A$6:$F$105,6,FALSE),""))</f>
        <v/>
      </c>
      <c r="I40" s="5"/>
    </row>
    <row r="41" spans="1:9" ht="16.05" customHeight="1">
      <c r="A41" s="14"/>
      <c r="B41" s="5"/>
      <c r="C41" s="5"/>
      <c r="D41" s="8"/>
      <c r="E41" s="7" t="str">
        <f>IF(OR(C41="",D41=""),"",IFERROR(D41/100*VLOOKUP(C41,'Food Database'!$A$6:$F$105,3,FALSE),""))</f>
        <v/>
      </c>
      <c r="F41" s="7" t="str">
        <f>IF(OR(C41="",D41=""),"",IFERROR(D41/100*VLOOKUP(C41,'Food Database'!$A$6:$F$105,5,FALSE),""))</f>
        <v/>
      </c>
      <c r="G41" s="7" t="str">
        <f>IF(OR(C41="",D41=""),"",IFERROR(D41/100*VLOOKUP(C41,'Food Database'!$A$6:$F$105,4,FALSE),""))</f>
        <v/>
      </c>
      <c r="H41" s="13" t="str">
        <f>IF(OR(C41="",D41=""),"",IFERROR(D41/100*VLOOKUP(C41,'Food Database'!$A$6:$F$105,6,FALSE),""))</f>
        <v/>
      </c>
      <c r="I41" s="5"/>
    </row>
    <row r="42" spans="1:9" ht="16.05" customHeight="1">
      <c r="A42" s="14"/>
      <c r="B42" s="5"/>
      <c r="C42" s="5"/>
      <c r="D42" s="8"/>
      <c r="E42" s="7" t="str">
        <f>IF(OR(C42="",D42=""),"",IFERROR(D42/100*VLOOKUP(C42,'Food Database'!$A$6:$F$105,3,FALSE),""))</f>
        <v/>
      </c>
      <c r="F42" s="7" t="str">
        <f>IF(OR(C42="",D42=""),"",IFERROR(D42/100*VLOOKUP(C42,'Food Database'!$A$6:$F$105,5,FALSE),""))</f>
        <v/>
      </c>
      <c r="G42" s="7" t="str">
        <f>IF(OR(C42="",D42=""),"",IFERROR(D42/100*VLOOKUP(C42,'Food Database'!$A$6:$F$105,4,FALSE),""))</f>
        <v/>
      </c>
      <c r="H42" s="13" t="str">
        <f>IF(OR(C42="",D42=""),"",IFERROR(D42/100*VLOOKUP(C42,'Food Database'!$A$6:$F$105,6,FALSE),""))</f>
        <v/>
      </c>
      <c r="I42" s="5"/>
    </row>
    <row r="43" spans="1:9" ht="16.05" customHeight="1">
      <c r="A43" s="14"/>
      <c r="B43" s="5"/>
      <c r="C43" s="5"/>
      <c r="D43" s="8"/>
      <c r="E43" s="7" t="str">
        <f>IF(OR(C43="",D43=""),"",IFERROR(D43/100*VLOOKUP(C43,'Food Database'!$A$6:$F$105,3,FALSE),""))</f>
        <v/>
      </c>
      <c r="F43" s="7" t="str">
        <f>IF(OR(C43="",D43=""),"",IFERROR(D43/100*VLOOKUP(C43,'Food Database'!$A$6:$F$105,5,FALSE),""))</f>
        <v/>
      </c>
      <c r="G43" s="7" t="str">
        <f>IF(OR(C43="",D43=""),"",IFERROR(D43/100*VLOOKUP(C43,'Food Database'!$A$6:$F$105,4,FALSE),""))</f>
        <v/>
      </c>
      <c r="H43" s="13" t="str">
        <f>IF(OR(C43="",D43=""),"",IFERROR(D43/100*VLOOKUP(C43,'Food Database'!$A$6:$F$105,6,FALSE),""))</f>
        <v/>
      </c>
      <c r="I43" s="5"/>
    </row>
    <row r="44" spans="1:9" ht="16.05" customHeight="1">
      <c r="A44" s="14"/>
      <c r="B44" s="5"/>
      <c r="C44" s="5"/>
      <c r="D44" s="8"/>
      <c r="E44" s="7" t="str">
        <f>IF(OR(C44="",D44=""),"",IFERROR(D44/100*VLOOKUP(C44,'Food Database'!$A$6:$F$105,3,FALSE),""))</f>
        <v/>
      </c>
      <c r="F44" s="7" t="str">
        <f>IF(OR(C44="",D44=""),"",IFERROR(D44/100*VLOOKUP(C44,'Food Database'!$A$6:$F$105,5,FALSE),""))</f>
        <v/>
      </c>
      <c r="G44" s="7" t="str">
        <f>IF(OR(C44="",D44=""),"",IFERROR(D44/100*VLOOKUP(C44,'Food Database'!$A$6:$F$105,4,FALSE),""))</f>
        <v/>
      </c>
      <c r="H44" s="13" t="str">
        <f>IF(OR(C44="",D44=""),"",IFERROR(D44/100*VLOOKUP(C44,'Food Database'!$A$6:$F$105,6,FALSE),""))</f>
        <v/>
      </c>
      <c r="I44" s="5"/>
    </row>
    <row r="45" spans="1:9" ht="16.05" customHeight="1">
      <c r="A45" s="14"/>
      <c r="B45" s="5"/>
      <c r="C45" s="5"/>
      <c r="D45" s="8"/>
      <c r="E45" s="7" t="str">
        <f>IF(OR(C45="",D45=""),"",IFERROR(D45/100*VLOOKUP(C45,'Food Database'!$A$6:$F$105,3,FALSE),""))</f>
        <v/>
      </c>
      <c r="F45" s="7" t="str">
        <f>IF(OR(C45="",D45=""),"",IFERROR(D45/100*VLOOKUP(C45,'Food Database'!$A$6:$F$105,5,FALSE),""))</f>
        <v/>
      </c>
      <c r="G45" s="7" t="str">
        <f>IF(OR(C45="",D45=""),"",IFERROR(D45/100*VLOOKUP(C45,'Food Database'!$A$6:$F$105,4,FALSE),""))</f>
        <v/>
      </c>
      <c r="H45" s="13" t="str">
        <f>IF(OR(C45="",D45=""),"",IFERROR(D45/100*VLOOKUP(C45,'Food Database'!$A$6:$F$105,6,FALSE),""))</f>
        <v/>
      </c>
      <c r="I45" s="5"/>
    </row>
    <row r="46" spans="1:9" ht="16.05" customHeight="1">
      <c r="A46" s="14"/>
      <c r="B46" s="5"/>
      <c r="C46" s="5"/>
      <c r="D46" s="8"/>
      <c r="E46" s="7" t="str">
        <f>IF(OR(C46="",D46=""),"",IFERROR(D46/100*VLOOKUP(C46,'Food Database'!$A$6:$F$105,3,FALSE),""))</f>
        <v/>
      </c>
      <c r="F46" s="7" t="str">
        <f>IF(OR(C46="",D46=""),"",IFERROR(D46/100*VLOOKUP(C46,'Food Database'!$A$6:$F$105,5,FALSE),""))</f>
        <v/>
      </c>
      <c r="G46" s="7" t="str">
        <f>IF(OR(C46="",D46=""),"",IFERROR(D46/100*VLOOKUP(C46,'Food Database'!$A$6:$F$105,4,FALSE),""))</f>
        <v/>
      </c>
      <c r="H46" s="13" t="str">
        <f>IF(OR(C46="",D46=""),"",IFERROR(D46/100*VLOOKUP(C46,'Food Database'!$A$6:$F$105,6,FALSE),""))</f>
        <v/>
      </c>
      <c r="I46" s="5"/>
    </row>
    <row r="47" spans="1:9" ht="16.05" customHeight="1">
      <c r="A47" s="14"/>
      <c r="B47" s="5"/>
      <c r="C47" s="5"/>
      <c r="D47" s="8"/>
      <c r="E47" s="7" t="str">
        <f>IF(OR(C47="",D47=""),"",IFERROR(D47/100*VLOOKUP(C47,'Food Database'!$A$6:$F$105,3,FALSE),""))</f>
        <v/>
      </c>
      <c r="F47" s="7" t="str">
        <f>IF(OR(C47="",D47=""),"",IFERROR(D47/100*VLOOKUP(C47,'Food Database'!$A$6:$F$105,5,FALSE),""))</f>
        <v/>
      </c>
      <c r="G47" s="7" t="str">
        <f>IF(OR(C47="",D47=""),"",IFERROR(D47/100*VLOOKUP(C47,'Food Database'!$A$6:$F$105,4,FALSE),""))</f>
        <v/>
      </c>
      <c r="H47" s="13" t="str">
        <f>IF(OR(C47="",D47=""),"",IFERROR(D47/100*VLOOKUP(C47,'Food Database'!$A$6:$F$105,6,FALSE),""))</f>
        <v/>
      </c>
      <c r="I47" s="5"/>
    </row>
    <row r="48" spans="1:9" ht="16.05" customHeight="1">
      <c r="A48" s="14"/>
      <c r="B48" s="5"/>
      <c r="C48" s="5"/>
      <c r="D48" s="8"/>
      <c r="E48" s="7" t="str">
        <f>IF(OR(C48="",D48=""),"",IFERROR(D48/100*VLOOKUP(C48,'Food Database'!$A$6:$F$105,3,FALSE),""))</f>
        <v/>
      </c>
      <c r="F48" s="7" t="str">
        <f>IF(OR(C48="",D48=""),"",IFERROR(D48/100*VLOOKUP(C48,'Food Database'!$A$6:$F$105,5,FALSE),""))</f>
        <v/>
      </c>
      <c r="G48" s="7" t="str">
        <f>IF(OR(C48="",D48=""),"",IFERROR(D48/100*VLOOKUP(C48,'Food Database'!$A$6:$F$105,4,FALSE),""))</f>
        <v/>
      </c>
      <c r="H48" s="13" t="str">
        <f>IF(OR(C48="",D48=""),"",IFERROR(D48/100*VLOOKUP(C48,'Food Database'!$A$6:$F$105,6,FALSE),""))</f>
        <v/>
      </c>
      <c r="I48" s="5"/>
    </row>
    <row r="49" spans="1:9" ht="16.05" customHeight="1">
      <c r="A49" s="14"/>
      <c r="B49" s="5"/>
      <c r="C49" s="5"/>
      <c r="D49" s="8"/>
      <c r="E49" s="7" t="str">
        <f>IF(OR(C49="",D49=""),"",IFERROR(D49/100*VLOOKUP(C49,'Food Database'!$A$6:$F$105,3,FALSE),""))</f>
        <v/>
      </c>
      <c r="F49" s="7" t="str">
        <f>IF(OR(C49="",D49=""),"",IFERROR(D49/100*VLOOKUP(C49,'Food Database'!$A$6:$F$105,5,FALSE),""))</f>
        <v/>
      </c>
      <c r="G49" s="7" t="str">
        <f>IF(OR(C49="",D49=""),"",IFERROR(D49/100*VLOOKUP(C49,'Food Database'!$A$6:$F$105,4,FALSE),""))</f>
        <v/>
      </c>
      <c r="H49" s="13" t="str">
        <f>IF(OR(C49="",D49=""),"",IFERROR(D49/100*VLOOKUP(C49,'Food Database'!$A$6:$F$105,6,FALSE),""))</f>
        <v/>
      </c>
      <c r="I49" s="5"/>
    </row>
    <row r="50" spans="1:9" ht="16.05" customHeight="1">
      <c r="A50" s="14"/>
      <c r="B50" s="5"/>
      <c r="C50" s="5"/>
      <c r="D50" s="8"/>
      <c r="E50" s="7" t="str">
        <f>IF(OR(C50="",D50=""),"",IFERROR(D50/100*VLOOKUP(C50,'Food Database'!$A$6:$F$105,3,FALSE),""))</f>
        <v/>
      </c>
      <c r="F50" s="7" t="str">
        <f>IF(OR(C50="",D50=""),"",IFERROR(D50/100*VLOOKUP(C50,'Food Database'!$A$6:$F$105,5,FALSE),""))</f>
        <v/>
      </c>
      <c r="G50" s="7" t="str">
        <f>IF(OR(C50="",D50=""),"",IFERROR(D50/100*VLOOKUP(C50,'Food Database'!$A$6:$F$105,4,FALSE),""))</f>
        <v/>
      </c>
      <c r="H50" s="13" t="str">
        <f>IF(OR(C50="",D50=""),"",IFERROR(D50/100*VLOOKUP(C50,'Food Database'!$A$6:$F$105,6,FALSE),""))</f>
        <v/>
      </c>
      <c r="I50" s="5"/>
    </row>
    <row r="51" spans="1:9" ht="16.05" customHeight="1">
      <c r="A51" s="14"/>
      <c r="B51" s="5"/>
      <c r="C51" s="5"/>
      <c r="D51" s="8"/>
      <c r="E51" s="7" t="str">
        <f>IF(OR(C51="",D51=""),"",IFERROR(D51/100*VLOOKUP(C51,'Food Database'!$A$6:$F$105,3,FALSE),""))</f>
        <v/>
      </c>
      <c r="F51" s="7" t="str">
        <f>IF(OR(C51="",D51=""),"",IFERROR(D51/100*VLOOKUP(C51,'Food Database'!$A$6:$F$105,5,FALSE),""))</f>
        <v/>
      </c>
      <c r="G51" s="7" t="str">
        <f>IF(OR(C51="",D51=""),"",IFERROR(D51/100*VLOOKUP(C51,'Food Database'!$A$6:$F$105,4,FALSE),""))</f>
        <v/>
      </c>
      <c r="H51" s="13" t="str">
        <f>IF(OR(C51="",D51=""),"",IFERROR(D51/100*VLOOKUP(C51,'Food Database'!$A$6:$F$105,6,FALSE),""))</f>
        <v/>
      </c>
      <c r="I51" s="5"/>
    </row>
    <row r="52" spans="1:9" ht="16.05" customHeight="1">
      <c r="A52" s="14"/>
      <c r="B52" s="5"/>
      <c r="C52" s="5"/>
      <c r="D52" s="8"/>
      <c r="E52" s="7" t="str">
        <f>IF(OR(C52="",D52=""),"",IFERROR(D52/100*VLOOKUP(C52,'Food Database'!$A$6:$F$105,3,FALSE),""))</f>
        <v/>
      </c>
      <c r="F52" s="7" t="str">
        <f>IF(OR(C52="",D52=""),"",IFERROR(D52/100*VLOOKUP(C52,'Food Database'!$A$6:$F$105,5,FALSE),""))</f>
        <v/>
      </c>
      <c r="G52" s="7" t="str">
        <f>IF(OR(C52="",D52=""),"",IFERROR(D52/100*VLOOKUP(C52,'Food Database'!$A$6:$F$105,4,FALSE),""))</f>
        <v/>
      </c>
      <c r="H52" s="13" t="str">
        <f>IF(OR(C52="",D52=""),"",IFERROR(D52/100*VLOOKUP(C52,'Food Database'!$A$6:$F$105,6,FALSE),""))</f>
        <v/>
      </c>
      <c r="I52" s="5"/>
    </row>
    <row r="53" spans="1:9" ht="16.05" customHeight="1">
      <c r="A53" s="14"/>
      <c r="B53" s="5"/>
      <c r="C53" s="5"/>
      <c r="D53" s="8"/>
      <c r="E53" s="7" t="str">
        <f>IF(OR(C53="",D53=""),"",IFERROR(D53/100*VLOOKUP(C53,'Food Database'!$A$6:$F$105,3,FALSE),""))</f>
        <v/>
      </c>
      <c r="F53" s="7" t="str">
        <f>IF(OR(C53="",D53=""),"",IFERROR(D53/100*VLOOKUP(C53,'Food Database'!$A$6:$F$105,5,FALSE),""))</f>
        <v/>
      </c>
      <c r="G53" s="7" t="str">
        <f>IF(OR(C53="",D53=""),"",IFERROR(D53/100*VLOOKUP(C53,'Food Database'!$A$6:$F$105,4,FALSE),""))</f>
        <v/>
      </c>
      <c r="H53" s="13" t="str">
        <f>IF(OR(C53="",D53=""),"",IFERROR(D53/100*VLOOKUP(C53,'Food Database'!$A$6:$F$105,6,FALSE),""))</f>
        <v/>
      </c>
      <c r="I53" s="5"/>
    </row>
    <row r="54" spans="1:9" ht="16.05" customHeight="1">
      <c r="A54" s="14"/>
      <c r="B54" s="5"/>
      <c r="C54" s="5"/>
      <c r="D54" s="8"/>
      <c r="E54" s="7" t="str">
        <f>IF(OR(C54="",D54=""),"",IFERROR(D54/100*VLOOKUP(C54,'Food Database'!$A$6:$F$105,3,FALSE),""))</f>
        <v/>
      </c>
      <c r="F54" s="7" t="str">
        <f>IF(OR(C54="",D54=""),"",IFERROR(D54/100*VLOOKUP(C54,'Food Database'!$A$6:$F$105,5,FALSE),""))</f>
        <v/>
      </c>
      <c r="G54" s="7" t="str">
        <f>IF(OR(C54="",D54=""),"",IFERROR(D54/100*VLOOKUP(C54,'Food Database'!$A$6:$F$105,4,FALSE),""))</f>
        <v/>
      </c>
      <c r="H54" s="13" t="str">
        <f>IF(OR(C54="",D54=""),"",IFERROR(D54/100*VLOOKUP(C54,'Food Database'!$A$6:$F$105,6,FALSE),""))</f>
        <v/>
      </c>
      <c r="I54" s="5"/>
    </row>
    <row r="55" spans="1:9" ht="16.05" customHeight="1">
      <c r="A55" s="14"/>
      <c r="B55" s="5"/>
      <c r="C55" s="5"/>
      <c r="D55" s="8"/>
      <c r="E55" s="7" t="str">
        <f>IF(OR(C55="",D55=""),"",IFERROR(D55/100*VLOOKUP(C55,'Food Database'!$A$6:$F$105,3,FALSE),""))</f>
        <v/>
      </c>
      <c r="F55" s="7" t="str">
        <f>IF(OR(C55="",D55=""),"",IFERROR(D55/100*VLOOKUP(C55,'Food Database'!$A$6:$F$105,5,FALSE),""))</f>
        <v/>
      </c>
      <c r="G55" s="7" t="str">
        <f>IF(OR(C55="",D55=""),"",IFERROR(D55/100*VLOOKUP(C55,'Food Database'!$A$6:$F$105,4,FALSE),""))</f>
        <v/>
      </c>
      <c r="H55" s="13" t="str">
        <f>IF(OR(C55="",D55=""),"",IFERROR(D55/100*VLOOKUP(C55,'Food Database'!$A$6:$F$105,6,FALSE),""))</f>
        <v/>
      </c>
      <c r="I55" s="5"/>
    </row>
    <row r="56" spans="1:9" ht="16.05" customHeight="1">
      <c r="A56" s="14"/>
      <c r="B56" s="5"/>
      <c r="C56" s="5"/>
      <c r="D56" s="8"/>
      <c r="E56" s="7" t="str">
        <f>IF(OR(C56="",D56=""),"",IFERROR(D56/100*VLOOKUP(C56,'Food Database'!$A$6:$F$105,3,FALSE),""))</f>
        <v/>
      </c>
      <c r="F56" s="7" t="str">
        <f>IF(OR(C56="",D56=""),"",IFERROR(D56/100*VLOOKUP(C56,'Food Database'!$A$6:$F$105,5,FALSE),""))</f>
        <v/>
      </c>
      <c r="G56" s="7" t="str">
        <f>IF(OR(C56="",D56=""),"",IFERROR(D56/100*VLOOKUP(C56,'Food Database'!$A$6:$F$105,4,FALSE),""))</f>
        <v/>
      </c>
      <c r="H56" s="13" t="str">
        <f>IF(OR(C56="",D56=""),"",IFERROR(D56/100*VLOOKUP(C56,'Food Database'!$A$6:$F$105,6,FALSE),""))</f>
        <v/>
      </c>
      <c r="I56" s="5"/>
    </row>
    <row r="57" spans="1:9" ht="16.05" customHeight="1">
      <c r="A57" s="14"/>
      <c r="B57" s="5"/>
      <c r="C57" s="5"/>
      <c r="D57" s="8"/>
      <c r="E57" s="7" t="str">
        <f>IF(OR(C57="",D57=""),"",IFERROR(D57/100*VLOOKUP(C57,'Food Database'!$A$6:$F$105,3,FALSE),""))</f>
        <v/>
      </c>
      <c r="F57" s="7" t="str">
        <f>IF(OR(C57="",D57=""),"",IFERROR(D57/100*VLOOKUP(C57,'Food Database'!$A$6:$F$105,5,FALSE),""))</f>
        <v/>
      </c>
      <c r="G57" s="7" t="str">
        <f>IF(OR(C57="",D57=""),"",IFERROR(D57/100*VLOOKUP(C57,'Food Database'!$A$6:$F$105,4,FALSE),""))</f>
        <v/>
      </c>
      <c r="H57" s="13" t="str">
        <f>IF(OR(C57="",D57=""),"",IFERROR(D57/100*VLOOKUP(C57,'Food Database'!$A$6:$F$105,6,FALSE),""))</f>
        <v/>
      </c>
      <c r="I57" s="5"/>
    </row>
    <row r="58" spans="1:9" ht="16.05" customHeight="1">
      <c r="A58" s="14"/>
      <c r="B58" s="5"/>
      <c r="C58" s="5"/>
      <c r="D58" s="8"/>
      <c r="E58" s="7" t="str">
        <f>IF(OR(C58="",D58=""),"",IFERROR(D58/100*VLOOKUP(C58,'Food Database'!$A$6:$F$105,3,FALSE),""))</f>
        <v/>
      </c>
      <c r="F58" s="7" t="str">
        <f>IF(OR(C58="",D58=""),"",IFERROR(D58/100*VLOOKUP(C58,'Food Database'!$A$6:$F$105,5,FALSE),""))</f>
        <v/>
      </c>
      <c r="G58" s="7" t="str">
        <f>IF(OR(C58="",D58=""),"",IFERROR(D58/100*VLOOKUP(C58,'Food Database'!$A$6:$F$105,4,FALSE),""))</f>
        <v/>
      </c>
      <c r="H58" s="13" t="str">
        <f>IF(OR(C58="",D58=""),"",IFERROR(D58/100*VLOOKUP(C58,'Food Database'!$A$6:$F$105,6,FALSE),""))</f>
        <v/>
      </c>
      <c r="I58" s="5"/>
    </row>
    <row r="59" spans="1:9" ht="16.05" customHeight="1">
      <c r="A59" s="14"/>
      <c r="B59" s="5"/>
      <c r="C59" s="5"/>
      <c r="D59" s="8"/>
      <c r="E59" s="7" t="str">
        <f>IF(OR(C59="",D59=""),"",IFERROR(D59/100*VLOOKUP(C59,'Food Database'!$A$6:$F$105,3,FALSE),""))</f>
        <v/>
      </c>
      <c r="F59" s="7" t="str">
        <f>IF(OR(C59="",D59=""),"",IFERROR(D59/100*VLOOKUP(C59,'Food Database'!$A$6:$F$105,5,FALSE),""))</f>
        <v/>
      </c>
      <c r="G59" s="7" t="str">
        <f>IF(OR(C59="",D59=""),"",IFERROR(D59/100*VLOOKUP(C59,'Food Database'!$A$6:$F$105,4,FALSE),""))</f>
        <v/>
      </c>
      <c r="H59" s="13" t="str">
        <f>IF(OR(C59="",D59=""),"",IFERROR(D59/100*VLOOKUP(C59,'Food Database'!$A$6:$F$105,6,FALSE),""))</f>
        <v/>
      </c>
      <c r="I59" s="5"/>
    </row>
    <row r="60" spans="1:9" ht="16.05" customHeight="1">
      <c r="A60" s="14"/>
      <c r="B60" s="5"/>
      <c r="C60" s="5"/>
      <c r="D60" s="8"/>
      <c r="E60" s="7" t="str">
        <f>IF(OR(C60="",D60=""),"",IFERROR(D60/100*VLOOKUP(C60,'Food Database'!$A$6:$F$105,3,FALSE),""))</f>
        <v/>
      </c>
      <c r="F60" s="7" t="str">
        <f>IF(OR(C60="",D60=""),"",IFERROR(D60/100*VLOOKUP(C60,'Food Database'!$A$6:$F$105,5,FALSE),""))</f>
        <v/>
      </c>
      <c r="G60" s="7" t="str">
        <f>IF(OR(C60="",D60=""),"",IFERROR(D60/100*VLOOKUP(C60,'Food Database'!$A$6:$F$105,4,FALSE),""))</f>
        <v/>
      </c>
      <c r="H60" s="13" t="str">
        <f>IF(OR(C60="",D60=""),"",IFERROR(D60/100*VLOOKUP(C60,'Food Database'!$A$6:$F$105,6,FALSE),""))</f>
        <v/>
      </c>
      <c r="I60" s="5"/>
    </row>
    <row r="61" spans="1:9" ht="16.05" customHeight="1">
      <c r="A61" s="14"/>
      <c r="B61" s="5"/>
      <c r="C61" s="5"/>
      <c r="D61" s="8"/>
      <c r="E61" s="7" t="str">
        <f>IF(OR(C61="",D61=""),"",IFERROR(D61/100*VLOOKUP(C61,'Food Database'!$A$6:$F$105,3,FALSE),""))</f>
        <v/>
      </c>
      <c r="F61" s="7" t="str">
        <f>IF(OR(C61="",D61=""),"",IFERROR(D61/100*VLOOKUP(C61,'Food Database'!$A$6:$F$105,5,FALSE),""))</f>
        <v/>
      </c>
      <c r="G61" s="7" t="str">
        <f>IF(OR(C61="",D61=""),"",IFERROR(D61/100*VLOOKUP(C61,'Food Database'!$A$6:$F$105,4,FALSE),""))</f>
        <v/>
      </c>
      <c r="H61" s="13" t="str">
        <f>IF(OR(C61="",D61=""),"",IFERROR(D61/100*VLOOKUP(C61,'Food Database'!$A$6:$F$105,6,FALSE),""))</f>
        <v/>
      </c>
      <c r="I61" s="5"/>
    </row>
    <row r="62" spans="1:9" ht="16.05" customHeight="1">
      <c r="A62" s="14"/>
      <c r="B62" s="5"/>
      <c r="C62" s="5"/>
      <c r="D62" s="8"/>
      <c r="E62" s="7" t="str">
        <f>IF(OR(C62="",D62=""),"",IFERROR(D62/100*VLOOKUP(C62,'Food Database'!$A$6:$F$105,3,FALSE),""))</f>
        <v/>
      </c>
      <c r="F62" s="7" t="str">
        <f>IF(OR(C62="",D62=""),"",IFERROR(D62/100*VLOOKUP(C62,'Food Database'!$A$6:$F$105,5,FALSE),""))</f>
        <v/>
      </c>
      <c r="G62" s="7" t="str">
        <f>IF(OR(C62="",D62=""),"",IFERROR(D62/100*VLOOKUP(C62,'Food Database'!$A$6:$F$105,4,FALSE),""))</f>
        <v/>
      </c>
      <c r="H62" s="13" t="str">
        <f>IF(OR(C62="",D62=""),"",IFERROR(D62/100*VLOOKUP(C62,'Food Database'!$A$6:$F$105,6,FALSE),""))</f>
        <v/>
      </c>
      <c r="I62" s="5"/>
    </row>
    <row r="63" spans="1:9" ht="16.05" customHeight="1">
      <c r="A63" s="14"/>
      <c r="B63" s="5"/>
      <c r="C63" s="5"/>
      <c r="D63" s="8"/>
      <c r="E63" s="7" t="str">
        <f>IF(OR(C63="",D63=""),"",IFERROR(D63/100*VLOOKUP(C63,'Food Database'!$A$6:$F$105,3,FALSE),""))</f>
        <v/>
      </c>
      <c r="F63" s="7" t="str">
        <f>IF(OR(C63="",D63=""),"",IFERROR(D63/100*VLOOKUP(C63,'Food Database'!$A$6:$F$105,5,FALSE),""))</f>
        <v/>
      </c>
      <c r="G63" s="7" t="str">
        <f>IF(OR(C63="",D63=""),"",IFERROR(D63/100*VLOOKUP(C63,'Food Database'!$A$6:$F$105,4,FALSE),""))</f>
        <v/>
      </c>
      <c r="H63" s="13" t="str">
        <f>IF(OR(C63="",D63=""),"",IFERROR(D63/100*VLOOKUP(C63,'Food Database'!$A$6:$F$105,6,FALSE),""))</f>
        <v/>
      </c>
      <c r="I63" s="5"/>
    </row>
    <row r="64" spans="1:9" ht="16.05" customHeight="1">
      <c r="A64" s="14"/>
      <c r="B64" s="5"/>
      <c r="C64" s="5"/>
      <c r="D64" s="8"/>
      <c r="E64" s="7" t="str">
        <f>IF(OR(C64="",D64=""),"",IFERROR(D64/100*VLOOKUP(C64,'Food Database'!$A$6:$F$105,3,FALSE),""))</f>
        <v/>
      </c>
      <c r="F64" s="7" t="str">
        <f>IF(OR(C64="",D64=""),"",IFERROR(D64/100*VLOOKUP(C64,'Food Database'!$A$6:$F$105,5,FALSE),""))</f>
        <v/>
      </c>
      <c r="G64" s="7" t="str">
        <f>IF(OR(C64="",D64=""),"",IFERROR(D64/100*VLOOKUP(C64,'Food Database'!$A$6:$F$105,4,FALSE),""))</f>
        <v/>
      </c>
      <c r="H64" s="13" t="str">
        <f>IF(OR(C64="",D64=""),"",IFERROR(D64/100*VLOOKUP(C64,'Food Database'!$A$6:$F$105,6,FALSE),""))</f>
        <v/>
      </c>
      <c r="I64" s="5"/>
    </row>
    <row r="65" spans="1:9" ht="16.05" customHeight="1">
      <c r="A65" s="14"/>
      <c r="B65" s="5"/>
      <c r="C65" s="5"/>
      <c r="D65" s="8"/>
      <c r="E65" s="7" t="str">
        <f>IF(OR(C65="",D65=""),"",IFERROR(D65/100*VLOOKUP(C65,'Food Database'!$A$6:$F$105,3,FALSE),""))</f>
        <v/>
      </c>
      <c r="F65" s="7" t="str">
        <f>IF(OR(C65="",D65=""),"",IFERROR(D65/100*VLOOKUP(C65,'Food Database'!$A$6:$F$105,5,FALSE),""))</f>
        <v/>
      </c>
      <c r="G65" s="7" t="str">
        <f>IF(OR(C65="",D65=""),"",IFERROR(D65/100*VLOOKUP(C65,'Food Database'!$A$6:$F$105,4,FALSE),""))</f>
        <v/>
      </c>
      <c r="H65" s="13" t="str">
        <f>IF(OR(C65="",D65=""),"",IFERROR(D65/100*VLOOKUP(C65,'Food Database'!$A$6:$F$105,6,FALSE),""))</f>
        <v/>
      </c>
      <c r="I65" s="5"/>
    </row>
    <row r="66" spans="1:9" ht="16.05" customHeight="1">
      <c r="A66" s="14"/>
      <c r="B66" s="5"/>
      <c r="C66" s="5"/>
      <c r="D66" s="8"/>
      <c r="E66" s="7" t="str">
        <f>IF(OR(C66="",D66=""),"",IFERROR(D66/100*VLOOKUP(C66,'Food Database'!$A$6:$F$105,3,FALSE),""))</f>
        <v/>
      </c>
      <c r="F66" s="7" t="str">
        <f>IF(OR(C66="",D66=""),"",IFERROR(D66/100*VLOOKUP(C66,'Food Database'!$A$6:$F$105,5,FALSE),""))</f>
        <v/>
      </c>
      <c r="G66" s="7" t="str">
        <f>IF(OR(C66="",D66=""),"",IFERROR(D66/100*VLOOKUP(C66,'Food Database'!$A$6:$F$105,4,FALSE),""))</f>
        <v/>
      </c>
      <c r="H66" s="13" t="str">
        <f>IF(OR(C66="",D66=""),"",IFERROR(D66/100*VLOOKUP(C66,'Food Database'!$A$6:$F$105,6,FALSE),""))</f>
        <v/>
      </c>
      <c r="I66" s="5"/>
    </row>
    <row r="67" spans="1:9" ht="16.05" customHeight="1">
      <c r="A67" s="14"/>
      <c r="B67" s="5"/>
      <c r="C67" s="5"/>
      <c r="D67" s="8"/>
      <c r="E67" s="7" t="str">
        <f>IF(OR(C67="",D67=""),"",IFERROR(D67/100*VLOOKUP(C67,'Food Database'!$A$6:$F$105,3,FALSE),""))</f>
        <v/>
      </c>
      <c r="F67" s="7" t="str">
        <f>IF(OR(C67="",D67=""),"",IFERROR(D67/100*VLOOKUP(C67,'Food Database'!$A$6:$F$105,5,FALSE),""))</f>
        <v/>
      </c>
      <c r="G67" s="7" t="str">
        <f>IF(OR(C67="",D67=""),"",IFERROR(D67/100*VLOOKUP(C67,'Food Database'!$A$6:$F$105,4,FALSE),""))</f>
        <v/>
      </c>
      <c r="H67" s="13" t="str">
        <f>IF(OR(C67="",D67=""),"",IFERROR(D67/100*VLOOKUP(C67,'Food Database'!$A$6:$F$105,6,FALSE),""))</f>
        <v/>
      </c>
      <c r="I67" s="5"/>
    </row>
    <row r="68" spans="1:9" ht="16.05" customHeight="1">
      <c r="A68" s="14"/>
      <c r="B68" s="5"/>
      <c r="C68" s="5"/>
      <c r="D68" s="8"/>
      <c r="E68" s="7" t="str">
        <f>IF(OR(C68="",D68=""),"",IFERROR(D68/100*VLOOKUP(C68,'Food Database'!$A$6:$F$105,3,FALSE),""))</f>
        <v/>
      </c>
      <c r="F68" s="7" t="str">
        <f>IF(OR(C68="",D68=""),"",IFERROR(D68/100*VLOOKUP(C68,'Food Database'!$A$6:$F$105,5,FALSE),""))</f>
        <v/>
      </c>
      <c r="G68" s="7" t="str">
        <f>IF(OR(C68="",D68=""),"",IFERROR(D68/100*VLOOKUP(C68,'Food Database'!$A$6:$F$105,4,FALSE),""))</f>
        <v/>
      </c>
      <c r="H68" s="13" t="str">
        <f>IF(OR(C68="",D68=""),"",IFERROR(D68/100*VLOOKUP(C68,'Food Database'!$A$6:$F$105,6,FALSE),""))</f>
        <v/>
      </c>
      <c r="I68" s="5"/>
    </row>
    <row r="69" spans="1:9" ht="16.05" customHeight="1">
      <c r="A69" s="14"/>
      <c r="B69" s="5"/>
      <c r="C69" s="5"/>
      <c r="D69" s="8"/>
      <c r="E69" s="7" t="str">
        <f>IF(OR(C69="",D69=""),"",IFERROR(D69/100*VLOOKUP(C69,'Food Database'!$A$6:$F$105,3,FALSE),""))</f>
        <v/>
      </c>
      <c r="F69" s="7" t="str">
        <f>IF(OR(C69="",D69=""),"",IFERROR(D69/100*VLOOKUP(C69,'Food Database'!$A$6:$F$105,5,FALSE),""))</f>
        <v/>
      </c>
      <c r="G69" s="7" t="str">
        <f>IF(OR(C69="",D69=""),"",IFERROR(D69/100*VLOOKUP(C69,'Food Database'!$A$6:$F$105,4,FALSE),""))</f>
        <v/>
      </c>
      <c r="H69" s="13" t="str">
        <f>IF(OR(C69="",D69=""),"",IFERROR(D69/100*VLOOKUP(C69,'Food Database'!$A$6:$F$105,6,FALSE),""))</f>
        <v/>
      </c>
      <c r="I69" s="5"/>
    </row>
    <row r="70" spans="1:9" ht="16.05" customHeight="1">
      <c r="A70" s="14"/>
      <c r="B70" s="5"/>
      <c r="C70" s="5"/>
      <c r="D70" s="8"/>
      <c r="E70" s="7" t="str">
        <f>IF(OR(C70="",D70=""),"",IFERROR(D70/100*VLOOKUP(C70,'Food Database'!$A$6:$F$105,3,FALSE),""))</f>
        <v/>
      </c>
      <c r="F70" s="7" t="str">
        <f>IF(OR(C70="",D70=""),"",IFERROR(D70/100*VLOOKUP(C70,'Food Database'!$A$6:$F$105,5,FALSE),""))</f>
        <v/>
      </c>
      <c r="G70" s="7" t="str">
        <f>IF(OR(C70="",D70=""),"",IFERROR(D70/100*VLOOKUP(C70,'Food Database'!$A$6:$F$105,4,FALSE),""))</f>
        <v/>
      </c>
      <c r="H70" s="13" t="str">
        <f>IF(OR(C70="",D70=""),"",IFERROR(D70/100*VLOOKUP(C70,'Food Database'!$A$6:$F$105,6,FALSE),""))</f>
        <v/>
      </c>
      <c r="I70" s="5"/>
    </row>
    <row r="71" spans="1:9" ht="16.05" customHeight="1">
      <c r="A71" s="14"/>
      <c r="B71" s="5"/>
      <c r="C71" s="5"/>
      <c r="D71" s="8"/>
      <c r="E71" s="7" t="str">
        <f>IF(OR(C71="",D71=""),"",IFERROR(D71/100*VLOOKUP(C71,'Food Database'!$A$6:$F$105,3,FALSE),""))</f>
        <v/>
      </c>
      <c r="F71" s="7" t="str">
        <f>IF(OR(C71="",D71=""),"",IFERROR(D71/100*VLOOKUP(C71,'Food Database'!$A$6:$F$105,5,FALSE),""))</f>
        <v/>
      </c>
      <c r="G71" s="7" t="str">
        <f>IF(OR(C71="",D71=""),"",IFERROR(D71/100*VLOOKUP(C71,'Food Database'!$A$6:$F$105,4,FALSE),""))</f>
        <v/>
      </c>
      <c r="H71" s="13" t="str">
        <f>IF(OR(C71="",D71=""),"",IFERROR(D71/100*VLOOKUP(C71,'Food Database'!$A$6:$F$105,6,FALSE),""))</f>
        <v/>
      </c>
      <c r="I71" s="5"/>
    </row>
    <row r="72" spans="1:9" ht="16.05" customHeight="1">
      <c r="A72" s="14"/>
      <c r="B72" s="5"/>
      <c r="C72" s="5"/>
      <c r="D72" s="8"/>
      <c r="E72" s="7" t="str">
        <f>IF(OR(C72="",D72=""),"",IFERROR(D72/100*VLOOKUP(C72,'Food Database'!$A$6:$F$105,3,FALSE),""))</f>
        <v/>
      </c>
      <c r="F72" s="7" t="str">
        <f>IF(OR(C72="",D72=""),"",IFERROR(D72/100*VLOOKUP(C72,'Food Database'!$A$6:$F$105,5,FALSE),""))</f>
        <v/>
      </c>
      <c r="G72" s="7" t="str">
        <f>IF(OR(C72="",D72=""),"",IFERROR(D72/100*VLOOKUP(C72,'Food Database'!$A$6:$F$105,4,FALSE),""))</f>
        <v/>
      </c>
      <c r="H72" s="13" t="str">
        <f>IF(OR(C72="",D72=""),"",IFERROR(D72/100*VLOOKUP(C72,'Food Database'!$A$6:$F$105,6,FALSE),""))</f>
        <v/>
      </c>
      <c r="I72" s="5"/>
    </row>
    <row r="73" spans="1:9" ht="16.05" customHeight="1">
      <c r="A73" s="14"/>
      <c r="B73" s="5"/>
      <c r="C73" s="5"/>
      <c r="D73" s="8"/>
      <c r="E73" s="7" t="str">
        <f>IF(OR(C73="",D73=""),"",IFERROR(D73/100*VLOOKUP(C73,'Food Database'!$A$6:$F$105,3,FALSE),""))</f>
        <v/>
      </c>
      <c r="F73" s="7" t="str">
        <f>IF(OR(C73="",D73=""),"",IFERROR(D73/100*VLOOKUP(C73,'Food Database'!$A$6:$F$105,5,FALSE),""))</f>
        <v/>
      </c>
      <c r="G73" s="7" t="str">
        <f>IF(OR(C73="",D73=""),"",IFERROR(D73/100*VLOOKUP(C73,'Food Database'!$A$6:$F$105,4,FALSE),""))</f>
        <v/>
      </c>
      <c r="H73" s="13" t="str">
        <f>IF(OR(C73="",D73=""),"",IFERROR(D73/100*VLOOKUP(C73,'Food Database'!$A$6:$F$105,6,FALSE),""))</f>
        <v/>
      </c>
      <c r="I73" s="5"/>
    </row>
    <row r="74" spans="1:9" ht="16.05" customHeight="1">
      <c r="A74" s="14"/>
      <c r="B74" s="5"/>
      <c r="C74" s="5"/>
      <c r="D74" s="8"/>
      <c r="E74" s="7" t="str">
        <f>IF(OR(C74="",D74=""),"",IFERROR(D74/100*VLOOKUP(C74,'Food Database'!$A$6:$F$105,3,FALSE),""))</f>
        <v/>
      </c>
      <c r="F74" s="7" t="str">
        <f>IF(OR(C74="",D74=""),"",IFERROR(D74/100*VLOOKUP(C74,'Food Database'!$A$6:$F$105,5,FALSE),""))</f>
        <v/>
      </c>
      <c r="G74" s="7" t="str">
        <f>IF(OR(C74="",D74=""),"",IFERROR(D74/100*VLOOKUP(C74,'Food Database'!$A$6:$F$105,4,FALSE),""))</f>
        <v/>
      </c>
      <c r="H74" s="13" t="str">
        <f>IF(OR(C74="",D74=""),"",IFERROR(D74/100*VLOOKUP(C74,'Food Database'!$A$6:$F$105,6,FALSE),""))</f>
        <v/>
      </c>
      <c r="I74" s="5"/>
    </row>
    <row r="75" spans="1:9" ht="16.05" customHeight="1">
      <c r="A75" s="14"/>
      <c r="B75" s="5"/>
      <c r="C75" s="5"/>
      <c r="D75" s="8"/>
      <c r="E75" s="7" t="str">
        <f>IF(OR(C75="",D75=""),"",IFERROR(D75/100*VLOOKUP(C75,'Food Database'!$A$6:$F$105,3,FALSE),""))</f>
        <v/>
      </c>
      <c r="F75" s="7" t="str">
        <f>IF(OR(C75="",D75=""),"",IFERROR(D75/100*VLOOKUP(C75,'Food Database'!$A$6:$F$105,5,FALSE),""))</f>
        <v/>
      </c>
      <c r="G75" s="7" t="str">
        <f>IF(OR(C75="",D75=""),"",IFERROR(D75/100*VLOOKUP(C75,'Food Database'!$A$6:$F$105,4,FALSE),""))</f>
        <v/>
      </c>
      <c r="H75" s="13" t="str">
        <f>IF(OR(C75="",D75=""),"",IFERROR(D75/100*VLOOKUP(C75,'Food Database'!$A$6:$F$105,6,FALSE),""))</f>
        <v/>
      </c>
      <c r="I75" s="5"/>
    </row>
    <row r="76" spans="1:9" ht="16.05" customHeight="1">
      <c r="A76" s="14"/>
      <c r="B76" s="5"/>
      <c r="C76" s="5"/>
      <c r="D76" s="8"/>
      <c r="E76" s="7" t="str">
        <f>IF(OR(C76="",D76=""),"",IFERROR(D76/100*VLOOKUP(C76,'Food Database'!$A$6:$F$105,3,FALSE),""))</f>
        <v/>
      </c>
      <c r="F76" s="7" t="str">
        <f>IF(OR(C76="",D76=""),"",IFERROR(D76/100*VLOOKUP(C76,'Food Database'!$A$6:$F$105,5,FALSE),""))</f>
        <v/>
      </c>
      <c r="G76" s="7" t="str">
        <f>IF(OR(C76="",D76=""),"",IFERROR(D76/100*VLOOKUP(C76,'Food Database'!$A$6:$F$105,4,FALSE),""))</f>
        <v/>
      </c>
      <c r="H76" s="13" t="str">
        <f>IF(OR(C76="",D76=""),"",IFERROR(D76/100*VLOOKUP(C76,'Food Database'!$A$6:$F$105,6,FALSE),""))</f>
        <v/>
      </c>
      <c r="I76" s="5"/>
    </row>
    <row r="77" spans="1:9" ht="16.05" customHeight="1">
      <c r="A77" s="14"/>
      <c r="B77" s="5"/>
      <c r="C77" s="5"/>
      <c r="D77" s="8"/>
      <c r="E77" s="7" t="str">
        <f>IF(OR(C77="",D77=""),"",IFERROR(D77/100*VLOOKUP(C77,'Food Database'!$A$6:$F$105,3,FALSE),""))</f>
        <v/>
      </c>
      <c r="F77" s="7" t="str">
        <f>IF(OR(C77="",D77=""),"",IFERROR(D77/100*VLOOKUP(C77,'Food Database'!$A$6:$F$105,5,FALSE),""))</f>
        <v/>
      </c>
      <c r="G77" s="7" t="str">
        <f>IF(OR(C77="",D77=""),"",IFERROR(D77/100*VLOOKUP(C77,'Food Database'!$A$6:$F$105,4,FALSE),""))</f>
        <v/>
      </c>
      <c r="H77" s="13" t="str">
        <f>IF(OR(C77="",D77=""),"",IFERROR(D77/100*VLOOKUP(C77,'Food Database'!$A$6:$F$105,6,FALSE),""))</f>
        <v/>
      </c>
      <c r="I77" s="5"/>
    </row>
    <row r="78" spans="1:9" ht="16.05" customHeight="1">
      <c r="A78" s="14"/>
      <c r="B78" s="5"/>
      <c r="C78" s="5"/>
      <c r="D78" s="8"/>
      <c r="E78" s="7" t="str">
        <f>IF(OR(C78="",D78=""),"",IFERROR(D78/100*VLOOKUP(C78,'Food Database'!$A$6:$F$105,3,FALSE),""))</f>
        <v/>
      </c>
      <c r="F78" s="7" t="str">
        <f>IF(OR(C78="",D78=""),"",IFERROR(D78/100*VLOOKUP(C78,'Food Database'!$A$6:$F$105,5,FALSE),""))</f>
        <v/>
      </c>
      <c r="G78" s="7" t="str">
        <f>IF(OR(C78="",D78=""),"",IFERROR(D78/100*VLOOKUP(C78,'Food Database'!$A$6:$F$105,4,FALSE),""))</f>
        <v/>
      </c>
      <c r="H78" s="13" t="str">
        <f>IF(OR(C78="",D78=""),"",IFERROR(D78/100*VLOOKUP(C78,'Food Database'!$A$6:$F$105,6,FALSE),""))</f>
        <v/>
      </c>
      <c r="I78" s="5"/>
    </row>
    <row r="79" spans="1:9" ht="16.05" customHeight="1">
      <c r="A79" s="14"/>
      <c r="B79" s="5"/>
      <c r="C79" s="5"/>
      <c r="D79" s="8"/>
      <c r="E79" s="7" t="str">
        <f>IF(OR(C79="",D79=""),"",IFERROR(D79/100*VLOOKUP(C79,'Food Database'!$A$6:$F$105,3,FALSE),""))</f>
        <v/>
      </c>
      <c r="F79" s="7" t="str">
        <f>IF(OR(C79="",D79=""),"",IFERROR(D79/100*VLOOKUP(C79,'Food Database'!$A$6:$F$105,5,FALSE),""))</f>
        <v/>
      </c>
      <c r="G79" s="7" t="str">
        <f>IF(OR(C79="",D79=""),"",IFERROR(D79/100*VLOOKUP(C79,'Food Database'!$A$6:$F$105,4,FALSE),""))</f>
        <v/>
      </c>
      <c r="H79" s="13" t="str">
        <f>IF(OR(C79="",D79=""),"",IFERROR(D79/100*VLOOKUP(C79,'Food Database'!$A$6:$F$105,6,FALSE),""))</f>
        <v/>
      </c>
      <c r="I79" s="5"/>
    </row>
    <row r="80" spans="1:9" ht="16.05" customHeight="1">
      <c r="A80" s="14"/>
      <c r="B80" s="5"/>
      <c r="C80" s="5"/>
      <c r="D80" s="8"/>
      <c r="E80" s="7" t="str">
        <f>IF(OR(C80="",D80=""),"",IFERROR(D80/100*VLOOKUP(C80,'Food Database'!$A$6:$F$105,3,FALSE),""))</f>
        <v/>
      </c>
      <c r="F80" s="7" t="str">
        <f>IF(OR(C80="",D80=""),"",IFERROR(D80/100*VLOOKUP(C80,'Food Database'!$A$6:$F$105,5,FALSE),""))</f>
        <v/>
      </c>
      <c r="G80" s="7" t="str">
        <f>IF(OR(C80="",D80=""),"",IFERROR(D80/100*VLOOKUP(C80,'Food Database'!$A$6:$F$105,4,FALSE),""))</f>
        <v/>
      </c>
      <c r="H80" s="13" t="str">
        <f>IF(OR(C80="",D80=""),"",IFERROR(D80/100*VLOOKUP(C80,'Food Database'!$A$6:$F$105,6,FALSE),""))</f>
        <v/>
      </c>
      <c r="I80" s="5"/>
    </row>
    <row r="81" spans="1:9" ht="16.05" customHeight="1">
      <c r="A81" s="14"/>
      <c r="B81" s="5"/>
      <c r="C81" s="5"/>
      <c r="D81" s="8"/>
      <c r="E81" s="7" t="str">
        <f>IF(OR(C81="",D81=""),"",IFERROR(D81/100*VLOOKUP(C81,'Food Database'!$A$6:$F$105,3,FALSE),""))</f>
        <v/>
      </c>
      <c r="F81" s="7" t="str">
        <f>IF(OR(C81="",D81=""),"",IFERROR(D81/100*VLOOKUP(C81,'Food Database'!$A$6:$F$105,5,FALSE),""))</f>
        <v/>
      </c>
      <c r="G81" s="7" t="str">
        <f>IF(OR(C81="",D81=""),"",IFERROR(D81/100*VLOOKUP(C81,'Food Database'!$A$6:$F$105,4,FALSE),""))</f>
        <v/>
      </c>
      <c r="H81" s="13" t="str">
        <f>IF(OR(C81="",D81=""),"",IFERROR(D81/100*VLOOKUP(C81,'Food Database'!$A$6:$F$105,6,FALSE),""))</f>
        <v/>
      </c>
      <c r="I81" s="5"/>
    </row>
    <row r="82" spans="1:9" ht="16.05" customHeight="1">
      <c r="A82" s="14"/>
      <c r="B82" s="5"/>
      <c r="C82" s="5"/>
      <c r="D82" s="8"/>
      <c r="E82" s="7" t="str">
        <f>IF(OR(C82="",D82=""),"",IFERROR(D82/100*VLOOKUP(C82,'Food Database'!$A$6:$F$105,3,FALSE),""))</f>
        <v/>
      </c>
      <c r="F82" s="7" t="str">
        <f>IF(OR(C82="",D82=""),"",IFERROR(D82/100*VLOOKUP(C82,'Food Database'!$A$6:$F$105,5,FALSE),""))</f>
        <v/>
      </c>
      <c r="G82" s="7" t="str">
        <f>IF(OR(C82="",D82=""),"",IFERROR(D82/100*VLOOKUP(C82,'Food Database'!$A$6:$F$105,4,FALSE),""))</f>
        <v/>
      </c>
      <c r="H82" s="13" t="str">
        <f>IF(OR(C82="",D82=""),"",IFERROR(D82/100*VLOOKUP(C82,'Food Database'!$A$6:$F$105,6,FALSE),""))</f>
        <v/>
      </c>
      <c r="I82" s="5"/>
    </row>
    <row r="83" spans="1:9" ht="16.05" customHeight="1">
      <c r="A83" s="14"/>
      <c r="B83" s="5"/>
      <c r="C83" s="5"/>
      <c r="D83" s="8"/>
      <c r="E83" s="7" t="str">
        <f>IF(OR(C83="",D83=""),"",IFERROR(D83/100*VLOOKUP(C83,'Food Database'!$A$6:$F$105,3,FALSE),""))</f>
        <v/>
      </c>
      <c r="F83" s="7" t="str">
        <f>IF(OR(C83="",D83=""),"",IFERROR(D83/100*VLOOKUP(C83,'Food Database'!$A$6:$F$105,5,FALSE),""))</f>
        <v/>
      </c>
      <c r="G83" s="7" t="str">
        <f>IF(OR(C83="",D83=""),"",IFERROR(D83/100*VLOOKUP(C83,'Food Database'!$A$6:$F$105,4,FALSE),""))</f>
        <v/>
      </c>
      <c r="H83" s="13" t="str">
        <f>IF(OR(C83="",D83=""),"",IFERROR(D83/100*VLOOKUP(C83,'Food Database'!$A$6:$F$105,6,FALSE),""))</f>
        <v/>
      </c>
      <c r="I83" s="5"/>
    </row>
    <row r="84" spans="1:9" ht="16.05" customHeight="1">
      <c r="A84" s="14"/>
      <c r="B84" s="5"/>
      <c r="C84" s="5"/>
      <c r="D84" s="8"/>
      <c r="E84" s="7" t="str">
        <f>IF(OR(C84="",D84=""),"",IFERROR(D84/100*VLOOKUP(C84,'Food Database'!$A$6:$F$105,3,FALSE),""))</f>
        <v/>
      </c>
      <c r="F84" s="7" t="str">
        <f>IF(OR(C84="",D84=""),"",IFERROR(D84/100*VLOOKUP(C84,'Food Database'!$A$6:$F$105,5,FALSE),""))</f>
        <v/>
      </c>
      <c r="G84" s="7" t="str">
        <f>IF(OR(C84="",D84=""),"",IFERROR(D84/100*VLOOKUP(C84,'Food Database'!$A$6:$F$105,4,FALSE),""))</f>
        <v/>
      </c>
      <c r="H84" s="13" t="str">
        <f>IF(OR(C84="",D84=""),"",IFERROR(D84/100*VLOOKUP(C84,'Food Database'!$A$6:$F$105,6,FALSE),""))</f>
        <v/>
      </c>
      <c r="I84" s="5"/>
    </row>
    <row r="85" spans="1:9" ht="16.05" customHeight="1">
      <c r="A85" s="14"/>
      <c r="B85" s="5"/>
      <c r="C85" s="5"/>
      <c r="D85" s="8"/>
      <c r="E85" s="7" t="str">
        <f>IF(OR(C85="",D85=""),"",IFERROR(D85/100*VLOOKUP(C85,'Food Database'!$A$6:$F$105,3,FALSE),""))</f>
        <v/>
      </c>
      <c r="F85" s="7" t="str">
        <f>IF(OR(C85="",D85=""),"",IFERROR(D85/100*VLOOKUP(C85,'Food Database'!$A$6:$F$105,5,FALSE),""))</f>
        <v/>
      </c>
      <c r="G85" s="7" t="str">
        <f>IF(OR(C85="",D85=""),"",IFERROR(D85/100*VLOOKUP(C85,'Food Database'!$A$6:$F$105,4,FALSE),""))</f>
        <v/>
      </c>
      <c r="H85" s="13" t="str">
        <f>IF(OR(C85="",D85=""),"",IFERROR(D85/100*VLOOKUP(C85,'Food Database'!$A$6:$F$105,6,FALSE),""))</f>
        <v/>
      </c>
      <c r="I85" s="5"/>
    </row>
    <row r="86" spans="1:9" ht="16.05" customHeight="1">
      <c r="A86" s="14"/>
      <c r="B86" s="5"/>
      <c r="C86" s="5"/>
      <c r="D86" s="8"/>
      <c r="E86" s="7" t="str">
        <f>IF(OR(C86="",D86=""),"",IFERROR(D86/100*VLOOKUP(C86,'Food Database'!$A$6:$F$105,3,FALSE),""))</f>
        <v/>
      </c>
      <c r="F86" s="7" t="str">
        <f>IF(OR(C86="",D86=""),"",IFERROR(D86/100*VLOOKUP(C86,'Food Database'!$A$6:$F$105,5,FALSE),""))</f>
        <v/>
      </c>
      <c r="G86" s="7" t="str">
        <f>IF(OR(C86="",D86=""),"",IFERROR(D86/100*VLOOKUP(C86,'Food Database'!$A$6:$F$105,4,FALSE),""))</f>
        <v/>
      </c>
      <c r="H86" s="13" t="str">
        <f>IF(OR(C86="",D86=""),"",IFERROR(D86/100*VLOOKUP(C86,'Food Database'!$A$6:$F$105,6,FALSE),""))</f>
        <v/>
      </c>
      <c r="I86" s="5"/>
    </row>
    <row r="87" spans="1:9" ht="16.05" customHeight="1">
      <c r="A87" s="14"/>
      <c r="B87" s="5"/>
      <c r="C87" s="5"/>
      <c r="D87" s="8"/>
      <c r="E87" s="7" t="str">
        <f>IF(OR(C87="",D87=""),"",IFERROR(D87/100*VLOOKUP(C87,'Food Database'!$A$6:$F$105,3,FALSE),""))</f>
        <v/>
      </c>
      <c r="F87" s="7" t="str">
        <f>IF(OR(C87="",D87=""),"",IFERROR(D87/100*VLOOKUP(C87,'Food Database'!$A$6:$F$105,5,FALSE),""))</f>
        <v/>
      </c>
      <c r="G87" s="7" t="str">
        <f>IF(OR(C87="",D87=""),"",IFERROR(D87/100*VLOOKUP(C87,'Food Database'!$A$6:$F$105,4,FALSE),""))</f>
        <v/>
      </c>
      <c r="H87" s="13" t="str">
        <f>IF(OR(C87="",D87=""),"",IFERROR(D87/100*VLOOKUP(C87,'Food Database'!$A$6:$F$105,6,FALSE),""))</f>
        <v/>
      </c>
      <c r="I87" s="5"/>
    </row>
    <row r="88" spans="1:9" ht="16.05" customHeight="1">
      <c r="A88" s="14"/>
      <c r="B88" s="5"/>
      <c r="C88" s="5"/>
      <c r="D88" s="8"/>
      <c r="E88" s="7" t="str">
        <f>IF(OR(C88="",D88=""),"",IFERROR(D88/100*VLOOKUP(C88,'Food Database'!$A$6:$F$105,3,FALSE),""))</f>
        <v/>
      </c>
      <c r="F88" s="7" t="str">
        <f>IF(OR(C88="",D88=""),"",IFERROR(D88/100*VLOOKUP(C88,'Food Database'!$A$6:$F$105,5,FALSE),""))</f>
        <v/>
      </c>
      <c r="G88" s="7" t="str">
        <f>IF(OR(C88="",D88=""),"",IFERROR(D88/100*VLOOKUP(C88,'Food Database'!$A$6:$F$105,4,FALSE),""))</f>
        <v/>
      </c>
      <c r="H88" s="13" t="str">
        <f>IF(OR(C88="",D88=""),"",IFERROR(D88/100*VLOOKUP(C88,'Food Database'!$A$6:$F$105,6,FALSE),""))</f>
        <v/>
      </c>
      <c r="I88" s="5"/>
    </row>
    <row r="89" spans="1:9" ht="16.05" customHeight="1">
      <c r="A89" s="14"/>
      <c r="B89" s="5"/>
      <c r="C89" s="5"/>
      <c r="D89" s="8"/>
      <c r="E89" s="7" t="str">
        <f>IF(OR(C89="",D89=""),"",IFERROR(D89/100*VLOOKUP(C89,'Food Database'!$A$6:$F$105,3,FALSE),""))</f>
        <v/>
      </c>
      <c r="F89" s="7" t="str">
        <f>IF(OR(C89="",D89=""),"",IFERROR(D89/100*VLOOKUP(C89,'Food Database'!$A$6:$F$105,5,FALSE),""))</f>
        <v/>
      </c>
      <c r="G89" s="7" t="str">
        <f>IF(OR(C89="",D89=""),"",IFERROR(D89/100*VLOOKUP(C89,'Food Database'!$A$6:$F$105,4,FALSE),""))</f>
        <v/>
      </c>
      <c r="H89" s="13" t="str">
        <f>IF(OR(C89="",D89=""),"",IFERROR(D89/100*VLOOKUP(C89,'Food Database'!$A$6:$F$105,6,FALSE),""))</f>
        <v/>
      </c>
      <c r="I89" s="5"/>
    </row>
    <row r="90" spans="1:9" ht="16.05" customHeight="1">
      <c r="A90" s="14"/>
      <c r="B90" s="5"/>
      <c r="C90" s="5"/>
      <c r="D90" s="8"/>
      <c r="E90" s="7" t="str">
        <f>IF(OR(C90="",D90=""),"",IFERROR(D90/100*VLOOKUP(C90,'Food Database'!$A$6:$F$105,3,FALSE),""))</f>
        <v/>
      </c>
      <c r="F90" s="7" t="str">
        <f>IF(OR(C90="",D90=""),"",IFERROR(D90/100*VLOOKUP(C90,'Food Database'!$A$6:$F$105,5,FALSE),""))</f>
        <v/>
      </c>
      <c r="G90" s="7" t="str">
        <f>IF(OR(C90="",D90=""),"",IFERROR(D90/100*VLOOKUP(C90,'Food Database'!$A$6:$F$105,4,FALSE),""))</f>
        <v/>
      </c>
      <c r="H90" s="13" t="str">
        <f>IF(OR(C90="",D90=""),"",IFERROR(D90/100*VLOOKUP(C90,'Food Database'!$A$6:$F$105,6,FALSE),""))</f>
        <v/>
      </c>
      <c r="I90" s="5"/>
    </row>
    <row r="91" spans="1:9" ht="16.05" customHeight="1">
      <c r="A91" s="14"/>
      <c r="B91" s="5"/>
      <c r="C91" s="5"/>
      <c r="D91" s="8"/>
      <c r="E91" s="7" t="str">
        <f>IF(OR(C91="",D91=""),"",IFERROR(D91/100*VLOOKUP(C91,'Food Database'!$A$6:$F$105,3,FALSE),""))</f>
        <v/>
      </c>
      <c r="F91" s="7" t="str">
        <f>IF(OR(C91="",D91=""),"",IFERROR(D91/100*VLOOKUP(C91,'Food Database'!$A$6:$F$105,5,FALSE),""))</f>
        <v/>
      </c>
      <c r="G91" s="7" t="str">
        <f>IF(OR(C91="",D91=""),"",IFERROR(D91/100*VLOOKUP(C91,'Food Database'!$A$6:$F$105,4,FALSE),""))</f>
        <v/>
      </c>
      <c r="H91" s="13" t="str">
        <f>IF(OR(C91="",D91=""),"",IFERROR(D91/100*VLOOKUP(C91,'Food Database'!$A$6:$F$105,6,FALSE),""))</f>
        <v/>
      </c>
      <c r="I91" s="5"/>
    </row>
    <row r="92" spans="1:9" ht="16.05" customHeight="1">
      <c r="A92" s="14"/>
      <c r="B92" s="5"/>
      <c r="C92" s="5"/>
      <c r="D92" s="8"/>
      <c r="E92" s="7" t="str">
        <f>IF(OR(C92="",D92=""),"",IFERROR(D92/100*VLOOKUP(C92,'Food Database'!$A$6:$F$105,3,FALSE),""))</f>
        <v/>
      </c>
      <c r="F92" s="7" t="str">
        <f>IF(OR(C92="",D92=""),"",IFERROR(D92/100*VLOOKUP(C92,'Food Database'!$A$6:$F$105,5,FALSE),""))</f>
        <v/>
      </c>
      <c r="G92" s="7" t="str">
        <f>IF(OR(C92="",D92=""),"",IFERROR(D92/100*VLOOKUP(C92,'Food Database'!$A$6:$F$105,4,FALSE),""))</f>
        <v/>
      </c>
      <c r="H92" s="13" t="str">
        <f>IF(OR(C92="",D92=""),"",IFERROR(D92/100*VLOOKUP(C92,'Food Database'!$A$6:$F$105,6,FALSE),""))</f>
        <v/>
      </c>
      <c r="I92" s="5"/>
    </row>
    <row r="93" spans="1:9" ht="16.05" customHeight="1">
      <c r="A93" s="14"/>
      <c r="B93" s="5"/>
      <c r="C93" s="5"/>
      <c r="D93" s="8"/>
      <c r="E93" s="7" t="str">
        <f>IF(OR(C93="",D93=""),"",IFERROR(D93/100*VLOOKUP(C93,'Food Database'!$A$6:$F$105,3,FALSE),""))</f>
        <v/>
      </c>
      <c r="F93" s="7" t="str">
        <f>IF(OR(C93="",D93=""),"",IFERROR(D93/100*VLOOKUP(C93,'Food Database'!$A$6:$F$105,5,FALSE),""))</f>
        <v/>
      </c>
      <c r="G93" s="7" t="str">
        <f>IF(OR(C93="",D93=""),"",IFERROR(D93/100*VLOOKUP(C93,'Food Database'!$A$6:$F$105,4,FALSE),""))</f>
        <v/>
      </c>
      <c r="H93" s="13" t="str">
        <f>IF(OR(C93="",D93=""),"",IFERROR(D93/100*VLOOKUP(C93,'Food Database'!$A$6:$F$105,6,FALSE),""))</f>
        <v/>
      </c>
      <c r="I93" s="5"/>
    </row>
    <row r="94" spans="1:9" ht="16.05" customHeight="1">
      <c r="A94" s="14"/>
      <c r="B94" s="5"/>
      <c r="C94" s="5"/>
      <c r="D94" s="8"/>
      <c r="E94" s="7" t="str">
        <f>IF(OR(C94="",D94=""),"",IFERROR(D94/100*VLOOKUP(C94,'Food Database'!$A$6:$F$105,3,FALSE),""))</f>
        <v/>
      </c>
      <c r="F94" s="7" t="str">
        <f>IF(OR(C94="",D94=""),"",IFERROR(D94/100*VLOOKUP(C94,'Food Database'!$A$6:$F$105,5,FALSE),""))</f>
        <v/>
      </c>
      <c r="G94" s="7" t="str">
        <f>IF(OR(C94="",D94=""),"",IFERROR(D94/100*VLOOKUP(C94,'Food Database'!$A$6:$F$105,4,FALSE),""))</f>
        <v/>
      </c>
      <c r="H94" s="13" t="str">
        <f>IF(OR(C94="",D94=""),"",IFERROR(D94/100*VLOOKUP(C94,'Food Database'!$A$6:$F$105,6,FALSE),""))</f>
        <v/>
      </c>
      <c r="I94" s="5"/>
    </row>
    <row r="95" spans="1:9" ht="16.05" customHeight="1">
      <c r="A95" s="14"/>
      <c r="B95" s="5"/>
      <c r="C95" s="5"/>
      <c r="D95" s="8"/>
      <c r="E95" s="7" t="str">
        <f>IF(OR(C95="",D95=""),"",IFERROR(D95/100*VLOOKUP(C95,'Food Database'!$A$6:$F$105,3,FALSE),""))</f>
        <v/>
      </c>
      <c r="F95" s="7" t="str">
        <f>IF(OR(C95="",D95=""),"",IFERROR(D95/100*VLOOKUP(C95,'Food Database'!$A$6:$F$105,5,FALSE),""))</f>
        <v/>
      </c>
      <c r="G95" s="7" t="str">
        <f>IF(OR(C95="",D95=""),"",IFERROR(D95/100*VLOOKUP(C95,'Food Database'!$A$6:$F$105,4,FALSE),""))</f>
        <v/>
      </c>
      <c r="H95" s="13" t="str">
        <f>IF(OR(C95="",D95=""),"",IFERROR(D95/100*VLOOKUP(C95,'Food Database'!$A$6:$F$105,6,FALSE),""))</f>
        <v/>
      </c>
      <c r="I95" s="5"/>
    </row>
    <row r="96" spans="1:9" ht="16.05" customHeight="1">
      <c r="A96" s="14"/>
      <c r="B96" s="5"/>
      <c r="C96" s="5"/>
      <c r="D96" s="8"/>
      <c r="E96" s="7" t="str">
        <f>IF(OR(C96="",D96=""),"",IFERROR(D96/100*VLOOKUP(C96,'Food Database'!$A$6:$F$105,3,FALSE),""))</f>
        <v/>
      </c>
      <c r="F96" s="7" t="str">
        <f>IF(OR(C96="",D96=""),"",IFERROR(D96/100*VLOOKUP(C96,'Food Database'!$A$6:$F$105,5,FALSE),""))</f>
        <v/>
      </c>
      <c r="G96" s="7" t="str">
        <f>IF(OR(C96="",D96=""),"",IFERROR(D96/100*VLOOKUP(C96,'Food Database'!$A$6:$F$105,4,FALSE),""))</f>
        <v/>
      </c>
      <c r="H96" s="13" t="str">
        <f>IF(OR(C96="",D96=""),"",IFERROR(D96/100*VLOOKUP(C96,'Food Database'!$A$6:$F$105,6,FALSE),""))</f>
        <v/>
      </c>
      <c r="I96" s="5"/>
    </row>
    <row r="97" spans="1:9" ht="16.05" customHeight="1">
      <c r="A97" s="14"/>
      <c r="B97" s="5"/>
      <c r="C97" s="5"/>
      <c r="D97" s="8"/>
      <c r="E97" s="7" t="str">
        <f>IF(OR(C97="",D97=""),"",IFERROR(D97/100*VLOOKUP(C97,'Food Database'!$A$6:$F$105,3,FALSE),""))</f>
        <v/>
      </c>
      <c r="F97" s="7" t="str">
        <f>IF(OR(C97="",D97=""),"",IFERROR(D97/100*VLOOKUP(C97,'Food Database'!$A$6:$F$105,5,FALSE),""))</f>
        <v/>
      </c>
      <c r="G97" s="7" t="str">
        <f>IF(OR(C97="",D97=""),"",IFERROR(D97/100*VLOOKUP(C97,'Food Database'!$A$6:$F$105,4,FALSE),""))</f>
        <v/>
      </c>
      <c r="H97" s="13" t="str">
        <f>IF(OR(C97="",D97=""),"",IFERROR(D97/100*VLOOKUP(C97,'Food Database'!$A$6:$F$105,6,FALSE),""))</f>
        <v/>
      </c>
      <c r="I97" s="5"/>
    </row>
    <row r="98" spans="1:9" ht="16.05" customHeight="1">
      <c r="A98" s="14"/>
      <c r="B98" s="5"/>
      <c r="C98" s="5"/>
      <c r="D98" s="8"/>
      <c r="E98" s="7" t="str">
        <f>IF(OR(C98="",D98=""),"",IFERROR(D98/100*VLOOKUP(C98,'Food Database'!$A$6:$F$105,3,FALSE),""))</f>
        <v/>
      </c>
      <c r="F98" s="7" t="str">
        <f>IF(OR(C98="",D98=""),"",IFERROR(D98/100*VLOOKUP(C98,'Food Database'!$A$6:$F$105,5,FALSE),""))</f>
        <v/>
      </c>
      <c r="G98" s="7" t="str">
        <f>IF(OR(C98="",D98=""),"",IFERROR(D98/100*VLOOKUP(C98,'Food Database'!$A$6:$F$105,4,FALSE),""))</f>
        <v/>
      </c>
      <c r="H98" s="13" t="str">
        <f>IF(OR(C98="",D98=""),"",IFERROR(D98/100*VLOOKUP(C98,'Food Database'!$A$6:$F$105,6,FALSE),""))</f>
        <v/>
      </c>
      <c r="I98" s="5"/>
    </row>
    <row r="99" spans="1:9" ht="16.05" customHeight="1">
      <c r="A99" s="14"/>
      <c r="B99" s="5"/>
      <c r="C99" s="5"/>
      <c r="D99" s="8"/>
      <c r="E99" s="7" t="str">
        <f>IF(OR(C99="",D99=""),"",IFERROR(D99/100*VLOOKUP(C99,'Food Database'!$A$6:$F$105,3,FALSE),""))</f>
        <v/>
      </c>
      <c r="F99" s="7" t="str">
        <f>IF(OR(C99="",D99=""),"",IFERROR(D99/100*VLOOKUP(C99,'Food Database'!$A$6:$F$105,5,FALSE),""))</f>
        <v/>
      </c>
      <c r="G99" s="7" t="str">
        <f>IF(OR(C99="",D99=""),"",IFERROR(D99/100*VLOOKUP(C99,'Food Database'!$A$6:$F$105,4,FALSE),""))</f>
        <v/>
      </c>
      <c r="H99" s="13" t="str">
        <f>IF(OR(C99="",D99=""),"",IFERROR(D99/100*VLOOKUP(C99,'Food Database'!$A$6:$F$105,6,FALSE),""))</f>
        <v/>
      </c>
      <c r="I99" s="5"/>
    </row>
    <row r="100" spans="1:9" ht="16.05" customHeight="1">
      <c r="A100" s="14"/>
      <c r="B100" s="5"/>
      <c r="C100" s="5"/>
      <c r="D100" s="8"/>
      <c r="E100" s="7" t="str">
        <f>IF(OR(C100="",D100=""),"",IFERROR(D100/100*VLOOKUP(C100,'Food Database'!$A$6:$F$105,3,FALSE),""))</f>
        <v/>
      </c>
      <c r="F100" s="7" t="str">
        <f>IF(OR(C100="",D100=""),"",IFERROR(D100/100*VLOOKUP(C100,'Food Database'!$A$6:$F$105,5,FALSE),""))</f>
        <v/>
      </c>
      <c r="G100" s="7" t="str">
        <f>IF(OR(C100="",D100=""),"",IFERROR(D100/100*VLOOKUP(C100,'Food Database'!$A$6:$F$105,4,FALSE),""))</f>
        <v/>
      </c>
      <c r="H100" s="13" t="str">
        <f>IF(OR(C100="",D100=""),"",IFERROR(D100/100*VLOOKUP(C100,'Food Database'!$A$6:$F$105,6,FALSE),""))</f>
        <v/>
      </c>
      <c r="I100" s="5"/>
    </row>
    <row r="101" spans="1:9" ht="16.05" customHeight="1">
      <c r="A101" s="14"/>
      <c r="B101" s="5"/>
      <c r="C101" s="5"/>
      <c r="D101" s="8"/>
      <c r="E101" s="7" t="str">
        <f>IF(OR(C101="",D101=""),"",IFERROR(D101/100*VLOOKUP(C101,'Food Database'!$A$6:$F$105,3,FALSE),""))</f>
        <v/>
      </c>
      <c r="F101" s="7" t="str">
        <f>IF(OR(C101="",D101=""),"",IFERROR(D101/100*VLOOKUP(C101,'Food Database'!$A$6:$F$105,5,FALSE),""))</f>
        <v/>
      </c>
      <c r="G101" s="7" t="str">
        <f>IF(OR(C101="",D101=""),"",IFERROR(D101/100*VLOOKUP(C101,'Food Database'!$A$6:$F$105,4,FALSE),""))</f>
        <v/>
      </c>
      <c r="H101" s="13" t="str">
        <f>IF(OR(C101="",D101=""),"",IFERROR(D101/100*VLOOKUP(C101,'Food Database'!$A$6:$F$105,6,FALSE),""))</f>
        <v/>
      </c>
      <c r="I101" s="5"/>
    </row>
    <row r="102" spans="1:9" ht="16.05" customHeight="1">
      <c r="A102" s="14"/>
      <c r="B102" s="5"/>
      <c r="C102" s="5"/>
      <c r="D102" s="8"/>
      <c r="E102" s="7" t="str">
        <f>IF(OR(C102="",D102=""),"",IFERROR(D102/100*VLOOKUP(C102,'Food Database'!$A$6:$F$105,3,FALSE),""))</f>
        <v/>
      </c>
      <c r="F102" s="7" t="str">
        <f>IF(OR(C102="",D102=""),"",IFERROR(D102/100*VLOOKUP(C102,'Food Database'!$A$6:$F$105,5,FALSE),""))</f>
        <v/>
      </c>
      <c r="G102" s="7" t="str">
        <f>IF(OR(C102="",D102=""),"",IFERROR(D102/100*VLOOKUP(C102,'Food Database'!$A$6:$F$105,4,FALSE),""))</f>
        <v/>
      </c>
      <c r="H102" s="13" t="str">
        <f>IF(OR(C102="",D102=""),"",IFERROR(D102/100*VLOOKUP(C102,'Food Database'!$A$6:$F$105,6,FALSE),""))</f>
        <v/>
      </c>
      <c r="I102" s="5"/>
    </row>
    <row r="103" spans="1:9" ht="16.05" customHeight="1">
      <c r="A103" s="14"/>
      <c r="B103" s="5"/>
      <c r="C103" s="5"/>
      <c r="D103" s="8"/>
      <c r="E103" s="7" t="str">
        <f>IF(OR(C103="",D103=""),"",IFERROR(D103/100*VLOOKUP(C103,'Food Database'!$A$6:$F$105,3,FALSE),""))</f>
        <v/>
      </c>
      <c r="F103" s="7" t="str">
        <f>IF(OR(C103="",D103=""),"",IFERROR(D103/100*VLOOKUP(C103,'Food Database'!$A$6:$F$105,5,FALSE),""))</f>
        <v/>
      </c>
      <c r="G103" s="7" t="str">
        <f>IF(OR(C103="",D103=""),"",IFERROR(D103/100*VLOOKUP(C103,'Food Database'!$A$6:$F$105,4,FALSE),""))</f>
        <v/>
      </c>
      <c r="H103" s="13" t="str">
        <f>IF(OR(C103="",D103=""),"",IFERROR(D103/100*VLOOKUP(C103,'Food Database'!$A$6:$F$105,6,FALSE),""))</f>
        <v/>
      </c>
      <c r="I103" s="5"/>
    </row>
    <row r="104" spans="1:9" ht="16.05" customHeight="1">
      <c r="A104" s="14"/>
      <c r="B104" s="5"/>
      <c r="C104" s="5"/>
      <c r="D104" s="8"/>
      <c r="E104" s="7" t="str">
        <f>IF(OR(C104="",D104=""),"",IFERROR(D104/100*VLOOKUP(C104,'Food Database'!$A$6:$F$105,3,FALSE),""))</f>
        <v/>
      </c>
      <c r="F104" s="7" t="str">
        <f>IF(OR(C104="",D104=""),"",IFERROR(D104/100*VLOOKUP(C104,'Food Database'!$A$6:$F$105,5,FALSE),""))</f>
        <v/>
      </c>
      <c r="G104" s="7" t="str">
        <f>IF(OR(C104="",D104=""),"",IFERROR(D104/100*VLOOKUP(C104,'Food Database'!$A$6:$F$105,4,FALSE),""))</f>
        <v/>
      </c>
      <c r="H104" s="13" t="str">
        <f>IF(OR(C104="",D104=""),"",IFERROR(D104/100*VLOOKUP(C104,'Food Database'!$A$6:$F$105,6,FALSE),""))</f>
        <v/>
      </c>
      <c r="I104" s="5"/>
    </row>
    <row r="105" spans="1:9" ht="16.05" customHeight="1">
      <c r="A105" s="14"/>
      <c r="B105" s="5"/>
      <c r="C105" s="5"/>
      <c r="D105" s="8"/>
      <c r="E105" s="7" t="str">
        <f>IF(OR(C105="",D105=""),"",IFERROR(D105/100*VLOOKUP(C105,'Food Database'!$A$6:$F$105,3,FALSE),""))</f>
        <v/>
      </c>
      <c r="F105" s="7" t="str">
        <f>IF(OR(C105="",D105=""),"",IFERROR(D105/100*VLOOKUP(C105,'Food Database'!$A$6:$F$105,5,FALSE),""))</f>
        <v/>
      </c>
      <c r="G105" s="7" t="str">
        <f>IF(OR(C105="",D105=""),"",IFERROR(D105/100*VLOOKUP(C105,'Food Database'!$A$6:$F$105,4,FALSE),""))</f>
        <v/>
      </c>
      <c r="H105" s="13" t="str">
        <f>IF(OR(C105="",D105=""),"",IFERROR(D105/100*VLOOKUP(C105,'Food Database'!$A$6:$F$105,6,FALSE),""))</f>
        <v/>
      </c>
      <c r="I105" s="5"/>
    </row>
  </sheetData>
  <mergeCells count="3">
    <mergeCell ref="A1:I1"/>
    <mergeCell ref="A2:I2"/>
    <mergeCell ref="A3:I3"/>
  </mergeCells>
  <conditionalFormatting sqref="H6:H105">
    <cfRule type="dataBar" priority="1">
      <dataBar>
        <cfvo type="min"/>
        <cfvo type="max"/>
        <color rgb="FFC95687"/>
      </dataBar>
    </cfRule>
    <cfRule type="dataBar" priority="2">
      <dataBar>
        <cfvo type="min"/>
        <cfvo type="max"/>
        <color rgb="FFC95687"/>
      </dataBar>
      <extLst>
        <ext xmlns:x14="http://schemas.microsoft.com/office/spreadsheetml/2009/9/main" uri="{B025F937-C7B1-47D3-B67F-A62EFF666E3E}">
          <x14:id>{87BEA238-41F8-30AC-68A7-61EEA27EEDE6}</x14:id>
        </ext>
      </extLst>
    </cfRule>
  </conditionalFormatting>
  <dataValidations count="1">
    <dataValidation type="list" sqref="B6:B105" xr:uid="{00000000-0002-0000-0100-000000000000}">
      <formula1>"Breakfast,Lunch,Dinner,Snack"</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7BEA238-41F8-30AC-68A7-61EEA27EEDE6}">
            <x14:dataBar>
              <x14:cfvo type="min"/>
              <x14:cfvo type="max"/>
              <x14:negativeFillColor auto="1"/>
              <x14:axisColor auto="1"/>
            </x14:dataBar>
          </x14:cfRule>
          <xm:sqref>H6:H105</xm:sqref>
        </x14:conditionalFormatting>
      </x14:conditionalFormattings>
    </ext>
    <ext xmlns:x14="http://schemas.microsoft.com/office/spreadsheetml/2009/9/main" uri="{CCE6A557-97BC-4b89-ADB6-D9C93CAAB3DF}">
      <x14:dataValidations xmlns:xm="http://schemas.microsoft.com/office/excel/2006/main" count="1">
        <x14:dataValidation type="list" xr:uid="{00000000-0002-0000-0100-000001000000}">
          <x14:formula1>
            <xm:f>'Food Database'!$A$6:$A$105</xm:f>
          </x14:formula1>
          <xm:sqref>C6:C105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5"/>
  <sheetViews>
    <sheetView workbookViewId="0"/>
  </sheetViews>
  <sheetFormatPr defaultRowHeight="13.8"/>
  <cols>
    <col min="1" max="1" width="34" customWidth="1"/>
    <col min="2" max="2" width="18" customWidth="1"/>
    <col min="3" max="6" width="15" customWidth="1"/>
    <col min="7" max="7" width="40" customWidth="1"/>
  </cols>
  <sheetData>
    <row r="1" spans="1:7" ht="22.35" customHeight="1">
      <c r="A1" s="16" t="s">
        <v>37</v>
      </c>
      <c r="B1" s="16"/>
      <c r="C1" s="16"/>
      <c r="D1" s="16"/>
      <c r="E1" s="16"/>
      <c r="F1" s="16"/>
      <c r="G1" s="16"/>
    </row>
    <row r="2" spans="1:7" ht="22.35" customHeight="1">
      <c r="A2" s="17" t="s">
        <v>38</v>
      </c>
      <c r="B2" s="17"/>
      <c r="C2" s="17"/>
      <c r="D2" s="17"/>
      <c r="E2" s="17"/>
      <c r="F2" s="17"/>
      <c r="G2" s="17"/>
    </row>
    <row r="3" spans="1:7" ht="22.35" customHeight="1">
      <c r="A3" s="17"/>
      <c r="B3" s="17"/>
      <c r="C3" s="17"/>
      <c r="D3" s="17"/>
      <c r="E3" s="17"/>
      <c r="F3" s="17"/>
      <c r="G3" s="17"/>
    </row>
    <row r="5" spans="1:7" ht="16.05" customHeight="1">
      <c r="A5" s="2" t="s">
        <v>31</v>
      </c>
      <c r="B5" s="2" t="s">
        <v>39</v>
      </c>
      <c r="C5" s="2" t="s">
        <v>33</v>
      </c>
      <c r="D5" s="2" t="s">
        <v>35</v>
      </c>
      <c r="E5" s="2" t="s">
        <v>34</v>
      </c>
      <c r="F5" s="2" t="s">
        <v>40</v>
      </c>
      <c r="G5" s="2" t="s">
        <v>41</v>
      </c>
    </row>
    <row r="6" spans="1:7" ht="16.05" customHeight="1">
      <c r="A6" s="5" t="s">
        <v>42</v>
      </c>
      <c r="B6" s="5" t="s">
        <v>9</v>
      </c>
      <c r="C6" s="8">
        <v>31</v>
      </c>
      <c r="D6" s="8">
        <v>0</v>
      </c>
      <c r="E6" s="8">
        <v>3.6</v>
      </c>
      <c r="F6" s="9">
        <v>165</v>
      </c>
      <c r="G6" s="5" t="s">
        <v>43</v>
      </c>
    </row>
    <row r="7" spans="1:7" ht="16.05" customHeight="1">
      <c r="A7" s="5" t="s">
        <v>44</v>
      </c>
      <c r="B7" s="5" t="s">
        <v>9</v>
      </c>
      <c r="C7" s="8">
        <v>26</v>
      </c>
      <c r="D7" s="8">
        <v>0</v>
      </c>
      <c r="E7" s="8">
        <v>5.7</v>
      </c>
      <c r="F7" s="9">
        <v>179</v>
      </c>
      <c r="G7" s="5" t="s">
        <v>43</v>
      </c>
    </row>
    <row r="8" spans="1:7" ht="16.05" customHeight="1">
      <c r="A8" s="5" t="s">
        <v>45</v>
      </c>
      <c r="B8" s="5" t="s">
        <v>9</v>
      </c>
      <c r="C8" s="8">
        <v>26</v>
      </c>
      <c r="D8" s="8">
        <v>0</v>
      </c>
      <c r="E8" s="8">
        <v>10</v>
      </c>
      <c r="F8" s="9">
        <v>217</v>
      </c>
      <c r="G8" s="5" t="s">
        <v>43</v>
      </c>
    </row>
    <row r="9" spans="1:7" ht="16.05" customHeight="1">
      <c r="A9" s="5" t="s">
        <v>46</v>
      </c>
      <c r="B9" s="5" t="s">
        <v>9</v>
      </c>
      <c r="C9" s="8">
        <v>27</v>
      </c>
      <c r="D9" s="8">
        <v>0</v>
      </c>
      <c r="E9" s="8">
        <v>9</v>
      </c>
      <c r="F9" s="9">
        <v>190</v>
      </c>
      <c r="G9" s="5" t="s">
        <v>43</v>
      </c>
    </row>
    <row r="10" spans="1:7" ht="16.05" customHeight="1">
      <c r="A10" s="5" t="s">
        <v>47</v>
      </c>
      <c r="B10" s="5" t="s">
        <v>9</v>
      </c>
      <c r="C10" s="8">
        <v>12.6</v>
      </c>
      <c r="D10" s="8">
        <v>1.1000000000000001</v>
      </c>
      <c r="E10" s="8">
        <v>10.6</v>
      </c>
      <c r="F10" s="9">
        <v>155</v>
      </c>
      <c r="G10" s="5" t="s">
        <v>43</v>
      </c>
    </row>
    <row r="11" spans="1:7" ht="16.05" customHeight="1">
      <c r="A11" s="5" t="s">
        <v>48</v>
      </c>
      <c r="B11" s="5" t="s">
        <v>9</v>
      </c>
      <c r="C11" s="8">
        <v>26</v>
      </c>
      <c r="D11" s="8">
        <v>0</v>
      </c>
      <c r="E11" s="8">
        <v>1</v>
      </c>
      <c r="F11" s="9">
        <v>116</v>
      </c>
      <c r="G11" s="5" t="s">
        <v>43</v>
      </c>
    </row>
    <row r="12" spans="1:7" ht="16.05" customHeight="1">
      <c r="A12" s="5" t="s">
        <v>49</v>
      </c>
      <c r="B12" s="5" t="s">
        <v>9</v>
      </c>
      <c r="C12" s="8">
        <v>25</v>
      </c>
      <c r="D12" s="8">
        <v>0</v>
      </c>
      <c r="E12" s="8">
        <v>13</v>
      </c>
      <c r="F12" s="9">
        <v>208</v>
      </c>
      <c r="G12" s="5" t="s">
        <v>43</v>
      </c>
    </row>
    <row r="13" spans="1:7" ht="16.05" customHeight="1">
      <c r="A13" s="5" t="s">
        <v>50</v>
      </c>
      <c r="B13" s="5" t="s">
        <v>9</v>
      </c>
      <c r="C13" s="8">
        <v>17</v>
      </c>
      <c r="D13" s="8">
        <v>3</v>
      </c>
      <c r="E13" s="8">
        <v>9</v>
      </c>
      <c r="F13" s="9">
        <v>144</v>
      </c>
      <c r="G13" s="5" t="s">
        <v>43</v>
      </c>
    </row>
    <row r="14" spans="1:7" ht="16.05" customHeight="1">
      <c r="A14" s="5" t="s">
        <v>51</v>
      </c>
      <c r="B14" s="5" t="s">
        <v>9</v>
      </c>
      <c r="C14" s="8">
        <v>20</v>
      </c>
      <c r="D14" s="8">
        <v>9</v>
      </c>
      <c r="E14" s="8">
        <v>11</v>
      </c>
      <c r="F14" s="9">
        <v>193</v>
      </c>
      <c r="G14" s="5" t="s">
        <v>43</v>
      </c>
    </row>
    <row r="15" spans="1:7" ht="16.05" customHeight="1">
      <c r="A15" s="5" t="s">
        <v>52</v>
      </c>
      <c r="B15" s="5" t="s">
        <v>53</v>
      </c>
      <c r="C15" s="8">
        <v>3.4</v>
      </c>
      <c r="D15" s="8">
        <v>5</v>
      </c>
      <c r="E15" s="8">
        <v>1</v>
      </c>
      <c r="F15" s="9">
        <v>42</v>
      </c>
      <c r="G15" s="5" t="s">
        <v>43</v>
      </c>
    </row>
    <row r="16" spans="1:7" ht="16.05" customHeight="1">
      <c r="A16" s="5" t="s">
        <v>54</v>
      </c>
      <c r="B16" s="5" t="s">
        <v>53</v>
      </c>
      <c r="C16" s="8">
        <v>10</v>
      </c>
      <c r="D16" s="8">
        <v>3.6</v>
      </c>
      <c r="E16" s="8">
        <v>0.4</v>
      </c>
      <c r="F16" s="9">
        <v>59</v>
      </c>
      <c r="G16" s="5" t="s">
        <v>43</v>
      </c>
    </row>
    <row r="17" spans="1:7" ht="16.05" customHeight="1">
      <c r="A17" s="5" t="s">
        <v>55</v>
      </c>
      <c r="B17" s="5" t="s">
        <v>53</v>
      </c>
      <c r="C17" s="8">
        <v>25</v>
      </c>
      <c r="D17" s="8">
        <v>1.3</v>
      </c>
      <c r="E17" s="8">
        <v>33</v>
      </c>
      <c r="F17" s="9">
        <v>403</v>
      </c>
      <c r="G17" s="5" t="s">
        <v>43</v>
      </c>
    </row>
    <row r="18" spans="1:7" ht="16.05" customHeight="1">
      <c r="A18" s="5" t="s">
        <v>56</v>
      </c>
      <c r="B18" s="5" t="s">
        <v>57</v>
      </c>
      <c r="C18" s="8">
        <v>2.7</v>
      </c>
      <c r="D18" s="8">
        <v>28.2</v>
      </c>
      <c r="E18" s="8">
        <v>0.3</v>
      </c>
      <c r="F18" s="9">
        <v>130</v>
      </c>
      <c r="G18" s="5" t="s">
        <v>43</v>
      </c>
    </row>
    <row r="19" spans="1:7" ht="16.05" customHeight="1">
      <c r="A19" s="5" t="s">
        <v>58</v>
      </c>
      <c r="B19" s="5" t="s">
        <v>57</v>
      </c>
      <c r="C19" s="8">
        <v>2.6</v>
      </c>
      <c r="D19" s="8">
        <v>23</v>
      </c>
      <c r="E19" s="8">
        <v>0.9</v>
      </c>
      <c r="F19" s="9">
        <v>123</v>
      </c>
      <c r="G19" s="5" t="s">
        <v>43</v>
      </c>
    </row>
    <row r="20" spans="1:7" ht="16.05" customHeight="1">
      <c r="A20" s="5" t="s">
        <v>59</v>
      </c>
      <c r="B20" s="5" t="s">
        <v>57</v>
      </c>
      <c r="C20" s="8">
        <v>2.5</v>
      </c>
      <c r="D20" s="8">
        <v>12</v>
      </c>
      <c r="E20" s="8">
        <v>1.4</v>
      </c>
      <c r="F20" s="9">
        <v>71</v>
      </c>
      <c r="G20" s="5" t="s">
        <v>43</v>
      </c>
    </row>
    <row r="21" spans="1:7" ht="16.05" customHeight="1">
      <c r="A21" s="5" t="s">
        <v>60</v>
      </c>
      <c r="B21" s="5" t="s">
        <v>57</v>
      </c>
      <c r="C21" s="8">
        <v>13</v>
      </c>
      <c r="D21" s="8">
        <v>43</v>
      </c>
      <c r="E21" s="8">
        <v>4.2</v>
      </c>
      <c r="F21" s="9">
        <v>247</v>
      </c>
      <c r="G21" s="5" t="s">
        <v>43</v>
      </c>
    </row>
    <row r="22" spans="1:7" ht="16.05" customHeight="1">
      <c r="A22" s="5" t="s">
        <v>61</v>
      </c>
      <c r="B22" s="5" t="s">
        <v>62</v>
      </c>
      <c r="C22" s="8">
        <v>1.9</v>
      </c>
      <c r="D22" s="8">
        <v>20</v>
      </c>
      <c r="E22" s="8">
        <v>0.1</v>
      </c>
      <c r="F22" s="9">
        <v>87</v>
      </c>
      <c r="G22" s="5" t="s">
        <v>43</v>
      </c>
    </row>
    <row r="23" spans="1:7" ht="16.05" customHeight="1">
      <c r="A23" s="5" t="s">
        <v>63</v>
      </c>
      <c r="B23" s="5" t="s">
        <v>62</v>
      </c>
      <c r="C23" s="8">
        <v>1.6</v>
      </c>
      <c r="D23" s="8">
        <v>20.7</v>
      </c>
      <c r="E23" s="8">
        <v>0.1</v>
      </c>
      <c r="F23" s="9">
        <v>90</v>
      </c>
      <c r="G23" s="5" t="s">
        <v>43</v>
      </c>
    </row>
    <row r="24" spans="1:7" ht="16.05" customHeight="1">
      <c r="A24" s="5" t="s">
        <v>64</v>
      </c>
      <c r="B24" s="5" t="s">
        <v>65</v>
      </c>
      <c r="C24" s="8">
        <v>1.1000000000000001</v>
      </c>
      <c r="D24" s="8">
        <v>23</v>
      </c>
      <c r="E24" s="8">
        <v>0.3</v>
      </c>
      <c r="F24" s="9">
        <v>89</v>
      </c>
      <c r="G24" s="5" t="s">
        <v>43</v>
      </c>
    </row>
    <row r="25" spans="1:7" ht="16.05" customHeight="1">
      <c r="A25" s="5" t="s">
        <v>66</v>
      </c>
      <c r="B25" s="5" t="s">
        <v>65</v>
      </c>
      <c r="C25" s="8">
        <v>0.3</v>
      </c>
      <c r="D25" s="8">
        <v>14</v>
      </c>
      <c r="E25" s="8">
        <v>0.2</v>
      </c>
      <c r="F25" s="9">
        <v>52</v>
      </c>
      <c r="G25" s="5" t="s">
        <v>43</v>
      </c>
    </row>
    <row r="26" spans="1:7" ht="16.05" customHeight="1">
      <c r="A26" s="5" t="s">
        <v>67</v>
      </c>
      <c r="B26" s="5" t="s">
        <v>65</v>
      </c>
      <c r="C26" s="8">
        <v>0.8</v>
      </c>
      <c r="D26" s="8">
        <v>15</v>
      </c>
      <c r="E26" s="8">
        <v>0.4</v>
      </c>
      <c r="F26" s="9">
        <v>60</v>
      </c>
      <c r="G26" s="5" t="s">
        <v>43</v>
      </c>
    </row>
    <row r="27" spans="1:7" ht="16.05" customHeight="1">
      <c r="A27" s="5" t="s">
        <v>68</v>
      </c>
      <c r="B27" s="5" t="s">
        <v>65</v>
      </c>
      <c r="C27" s="8">
        <v>0.9</v>
      </c>
      <c r="D27" s="8">
        <v>12</v>
      </c>
      <c r="E27" s="8">
        <v>0.1</v>
      </c>
      <c r="F27" s="9">
        <v>47</v>
      </c>
      <c r="G27" s="5" t="s">
        <v>43</v>
      </c>
    </row>
    <row r="28" spans="1:7" ht="16.05" customHeight="1">
      <c r="A28" s="5" t="s">
        <v>69</v>
      </c>
      <c r="B28" s="5" t="s">
        <v>70</v>
      </c>
      <c r="C28" s="8">
        <v>2.4</v>
      </c>
      <c r="D28" s="8">
        <v>7.2</v>
      </c>
      <c r="E28" s="8">
        <v>0.4</v>
      </c>
      <c r="F28" s="9">
        <v>35</v>
      </c>
      <c r="G28" s="5" t="s">
        <v>43</v>
      </c>
    </row>
    <row r="29" spans="1:7" ht="16.05" customHeight="1">
      <c r="A29" s="5" t="s">
        <v>71</v>
      </c>
      <c r="B29" s="5" t="s">
        <v>70</v>
      </c>
      <c r="C29" s="8">
        <v>0.9</v>
      </c>
      <c r="D29" s="8">
        <v>9.6</v>
      </c>
      <c r="E29" s="8">
        <v>0.2</v>
      </c>
      <c r="F29" s="9">
        <v>41</v>
      </c>
      <c r="G29" s="5" t="s">
        <v>43</v>
      </c>
    </row>
    <row r="30" spans="1:7" ht="16.05" customHeight="1">
      <c r="A30" s="5" t="s">
        <v>72</v>
      </c>
      <c r="B30" s="5" t="s">
        <v>70</v>
      </c>
      <c r="C30" s="8">
        <v>0.7</v>
      </c>
      <c r="D30" s="8">
        <v>3.6</v>
      </c>
      <c r="E30" s="8">
        <v>0.1</v>
      </c>
      <c r="F30" s="9">
        <v>15</v>
      </c>
      <c r="G30" s="5" t="s">
        <v>43</v>
      </c>
    </row>
    <row r="31" spans="1:7" ht="16.05" customHeight="1">
      <c r="A31" s="5" t="s">
        <v>73</v>
      </c>
      <c r="B31" s="5" t="s">
        <v>70</v>
      </c>
      <c r="C31" s="8">
        <v>0.9</v>
      </c>
      <c r="D31" s="8">
        <v>3.9</v>
      </c>
      <c r="E31" s="8">
        <v>0.2</v>
      </c>
      <c r="F31" s="9">
        <v>18</v>
      </c>
      <c r="G31" s="5" t="s">
        <v>43</v>
      </c>
    </row>
    <row r="32" spans="1:7" ht="16.05" customHeight="1">
      <c r="A32" s="5" t="s">
        <v>74</v>
      </c>
      <c r="B32" s="5" t="s">
        <v>70</v>
      </c>
      <c r="C32" s="8">
        <v>1.4</v>
      </c>
      <c r="D32" s="8">
        <v>2.9</v>
      </c>
      <c r="E32" s="8">
        <v>0.2</v>
      </c>
      <c r="F32" s="9">
        <v>15</v>
      </c>
      <c r="G32" s="5" t="s">
        <v>43</v>
      </c>
    </row>
    <row r="33" spans="1:7" ht="16.05" customHeight="1">
      <c r="A33" s="5" t="s">
        <v>75</v>
      </c>
      <c r="B33" s="5" t="s">
        <v>76</v>
      </c>
      <c r="C33" s="8">
        <v>2</v>
      </c>
      <c r="D33" s="8">
        <v>8.5</v>
      </c>
      <c r="E33" s="8">
        <v>14.7</v>
      </c>
      <c r="F33" s="9">
        <v>160</v>
      </c>
      <c r="G33" s="5" t="s">
        <v>43</v>
      </c>
    </row>
    <row r="34" spans="1:7" ht="16.05" customHeight="1">
      <c r="A34" s="5" t="s">
        <v>77</v>
      </c>
      <c r="B34" s="5" t="s">
        <v>76</v>
      </c>
      <c r="C34" s="8">
        <v>25</v>
      </c>
      <c r="D34" s="8">
        <v>20</v>
      </c>
      <c r="E34" s="8">
        <v>50</v>
      </c>
      <c r="F34" s="9">
        <v>588</v>
      </c>
      <c r="G34" s="5" t="s">
        <v>43</v>
      </c>
    </row>
    <row r="35" spans="1:7" ht="16.05" customHeight="1">
      <c r="A35" s="5" t="s">
        <v>78</v>
      </c>
      <c r="B35" s="5" t="s">
        <v>76</v>
      </c>
      <c r="C35" s="8">
        <v>25.8</v>
      </c>
      <c r="D35" s="8">
        <v>16.100000000000001</v>
      </c>
      <c r="E35" s="8">
        <v>49.2</v>
      </c>
      <c r="F35" s="9">
        <v>567</v>
      </c>
      <c r="G35" s="5" t="s">
        <v>43</v>
      </c>
    </row>
    <row r="36" spans="1:7" ht="16.05" customHeight="1">
      <c r="A36" s="5" t="s">
        <v>79</v>
      </c>
      <c r="B36" s="5" t="s">
        <v>76</v>
      </c>
      <c r="C36" s="8">
        <v>0</v>
      </c>
      <c r="D36" s="8">
        <v>0</v>
      </c>
      <c r="E36" s="8">
        <v>100</v>
      </c>
      <c r="F36" s="9">
        <v>884</v>
      </c>
      <c r="G36" s="5" t="s">
        <v>43</v>
      </c>
    </row>
    <row r="37" spans="1:7" ht="16.05" customHeight="1">
      <c r="A37" s="5" t="s">
        <v>80</v>
      </c>
      <c r="B37" s="5" t="s">
        <v>76</v>
      </c>
      <c r="C37" s="8">
        <v>0</v>
      </c>
      <c r="D37" s="8">
        <v>0</v>
      </c>
      <c r="E37" s="8">
        <v>100</v>
      </c>
      <c r="F37" s="9">
        <v>862</v>
      </c>
      <c r="G37" s="5" t="s">
        <v>43</v>
      </c>
    </row>
    <row r="38" spans="1:7" ht="16.05" customHeight="1">
      <c r="A38" s="5" t="s">
        <v>81</v>
      </c>
      <c r="B38" s="5" t="s">
        <v>82</v>
      </c>
      <c r="C38" s="8">
        <v>80</v>
      </c>
      <c r="D38" s="8">
        <v>8</v>
      </c>
      <c r="E38" s="8">
        <v>5</v>
      </c>
      <c r="F38" s="9">
        <v>400</v>
      </c>
      <c r="G38" s="5" t="s">
        <v>83</v>
      </c>
    </row>
    <row r="39" spans="1:7" ht="16.05" customHeight="1">
      <c r="A39" s="5"/>
      <c r="B39" s="5"/>
      <c r="C39" s="8"/>
      <c r="D39" s="8"/>
      <c r="E39" s="8"/>
      <c r="F39" s="9"/>
      <c r="G39" s="5"/>
    </row>
    <row r="40" spans="1:7" ht="16.05" customHeight="1">
      <c r="A40" s="5"/>
      <c r="B40" s="5"/>
      <c r="C40" s="8"/>
      <c r="D40" s="8"/>
      <c r="E40" s="8"/>
      <c r="F40" s="9"/>
      <c r="G40" s="5"/>
    </row>
    <row r="41" spans="1:7" ht="16.05" customHeight="1">
      <c r="A41" s="5"/>
      <c r="B41" s="5"/>
      <c r="C41" s="8"/>
      <c r="D41" s="8"/>
      <c r="E41" s="8"/>
      <c r="F41" s="9"/>
      <c r="G41" s="5"/>
    </row>
    <row r="42" spans="1:7" ht="16.05" customHeight="1">
      <c r="A42" s="5"/>
      <c r="B42" s="5"/>
      <c r="C42" s="8"/>
      <c r="D42" s="8"/>
      <c r="E42" s="8"/>
      <c r="F42" s="9"/>
      <c r="G42" s="5"/>
    </row>
    <row r="43" spans="1:7" ht="16.05" customHeight="1">
      <c r="A43" s="5"/>
      <c r="B43" s="5"/>
      <c r="C43" s="8"/>
      <c r="D43" s="8"/>
      <c r="E43" s="8"/>
      <c r="F43" s="9"/>
      <c r="G43" s="5"/>
    </row>
    <row r="44" spans="1:7" ht="16.05" customHeight="1">
      <c r="A44" s="5"/>
      <c r="B44" s="5"/>
      <c r="C44" s="8"/>
      <c r="D44" s="8"/>
      <c r="E44" s="8"/>
      <c r="F44" s="9"/>
      <c r="G44" s="5"/>
    </row>
    <row r="45" spans="1:7" ht="16.05" customHeight="1">
      <c r="A45" s="5"/>
      <c r="B45" s="5"/>
      <c r="C45" s="8"/>
      <c r="D45" s="8"/>
      <c r="E45" s="8"/>
      <c r="F45" s="9"/>
      <c r="G45" s="5"/>
    </row>
    <row r="46" spans="1:7" ht="16.05" customHeight="1">
      <c r="A46" s="5"/>
      <c r="B46" s="5"/>
      <c r="C46" s="8"/>
      <c r="D46" s="8"/>
      <c r="E46" s="8"/>
      <c r="F46" s="9"/>
      <c r="G46" s="5"/>
    </row>
    <row r="47" spans="1:7" ht="16.05" customHeight="1">
      <c r="A47" s="5"/>
      <c r="B47" s="5"/>
      <c r="C47" s="8"/>
      <c r="D47" s="8"/>
      <c r="E47" s="8"/>
      <c r="F47" s="9"/>
      <c r="G47" s="5"/>
    </row>
    <row r="48" spans="1:7" ht="16.05" customHeight="1">
      <c r="A48" s="5"/>
      <c r="B48" s="5"/>
      <c r="C48" s="8"/>
      <c r="D48" s="8"/>
      <c r="E48" s="8"/>
      <c r="F48" s="9"/>
      <c r="G48" s="5"/>
    </row>
    <row r="49" spans="1:7" ht="16.05" customHeight="1">
      <c r="A49" s="5"/>
      <c r="B49" s="5"/>
      <c r="C49" s="8"/>
      <c r="D49" s="8"/>
      <c r="E49" s="8"/>
      <c r="F49" s="9"/>
      <c r="G49" s="5"/>
    </row>
    <row r="50" spans="1:7" ht="16.05" customHeight="1">
      <c r="A50" s="5"/>
      <c r="B50" s="5"/>
      <c r="C50" s="8"/>
      <c r="D50" s="8"/>
      <c r="E50" s="8"/>
      <c r="F50" s="9"/>
      <c r="G50" s="5"/>
    </row>
    <row r="51" spans="1:7" ht="16.05" customHeight="1">
      <c r="A51" s="5"/>
      <c r="B51" s="5"/>
      <c r="C51" s="8"/>
      <c r="D51" s="8"/>
      <c r="E51" s="8"/>
      <c r="F51" s="9"/>
      <c r="G51" s="5"/>
    </row>
    <row r="52" spans="1:7" ht="16.05" customHeight="1">
      <c r="A52" s="5"/>
      <c r="B52" s="5"/>
      <c r="C52" s="8"/>
      <c r="D52" s="8"/>
      <c r="E52" s="8"/>
      <c r="F52" s="9"/>
      <c r="G52" s="5"/>
    </row>
    <row r="53" spans="1:7" ht="16.05" customHeight="1">
      <c r="A53" s="5"/>
      <c r="B53" s="5"/>
      <c r="C53" s="8"/>
      <c r="D53" s="8"/>
      <c r="E53" s="8"/>
      <c r="F53" s="9"/>
      <c r="G53" s="5"/>
    </row>
    <row r="54" spans="1:7" ht="16.05" customHeight="1">
      <c r="A54" s="5"/>
      <c r="B54" s="5"/>
      <c r="C54" s="8"/>
      <c r="D54" s="8"/>
      <c r="E54" s="8"/>
      <c r="F54" s="9"/>
      <c r="G54" s="5"/>
    </row>
    <row r="55" spans="1:7" ht="16.05" customHeight="1">
      <c r="A55" s="5"/>
      <c r="B55" s="5"/>
      <c r="C55" s="8"/>
      <c r="D55" s="8"/>
      <c r="E55" s="8"/>
      <c r="F55" s="9"/>
      <c r="G55" s="5"/>
    </row>
    <row r="56" spans="1:7" ht="16.05" customHeight="1">
      <c r="A56" s="5"/>
      <c r="B56" s="5"/>
      <c r="C56" s="8"/>
      <c r="D56" s="8"/>
      <c r="E56" s="8"/>
      <c r="F56" s="9"/>
      <c r="G56" s="5"/>
    </row>
    <row r="57" spans="1:7" ht="16.05" customHeight="1">
      <c r="A57" s="5"/>
      <c r="B57" s="5"/>
      <c r="C57" s="8"/>
      <c r="D57" s="8"/>
      <c r="E57" s="8"/>
      <c r="F57" s="9"/>
      <c r="G57" s="5"/>
    </row>
    <row r="58" spans="1:7" ht="16.05" customHeight="1">
      <c r="A58" s="5"/>
      <c r="B58" s="5"/>
      <c r="C58" s="8"/>
      <c r="D58" s="8"/>
      <c r="E58" s="8"/>
      <c r="F58" s="9"/>
      <c r="G58" s="5"/>
    </row>
    <row r="59" spans="1:7" ht="16.05" customHeight="1">
      <c r="A59" s="5"/>
      <c r="B59" s="5"/>
      <c r="C59" s="8"/>
      <c r="D59" s="8"/>
      <c r="E59" s="8"/>
      <c r="F59" s="9"/>
      <c r="G59" s="5"/>
    </row>
    <row r="60" spans="1:7" ht="16.05" customHeight="1">
      <c r="A60" s="5"/>
      <c r="B60" s="5"/>
      <c r="C60" s="8"/>
      <c r="D60" s="8"/>
      <c r="E60" s="8"/>
      <c r="F60" s="9"/>
      <c r="G60" s="5"/>
    </row>
    <row r="61" spans="1:7" ht="16.05" customHeight="1">
      <c r="A61" s="5"/>
      <c r="B61" s="5"/>
      <c r="C61" s="8"/>
      <c r="D61" s="8"/>
      <c r="E61" s="8"/>
      <c r="F61" s="9"/>
      <c r="G61" s="5"/>
    </row>
    <row r="62" spans="1:7" ht="16.05" customHeight="1">
      <c r="A62" s="5"/>
      <c r="B62" s="5"/>
      <c r="C62" s="8"/>
      <c r="D62" s="8"/>
      <c r="E62" s="8"/>
      <c r="F62" s="9"/>
      <c r="G62" s="5"/>
    </row>
    <row r="63" spans="1:7" ht="16.05" customHeight="1">
      <c r="A63" s="5"/>
      <c r="B63" s="5"/>
      <c r="C63" s="8"/>
      <c r="D63" s="8"/>
      <c r="E63" s="8"/>
      <c r="F63" s="9"/>
      <c r="G63" s="5"/>
    </row>
    <row r="64" spans="1:7" ht="16.05" customHeight="1">
      <c r="A64" s="5"/>
      <c r="B64" s="5"/>
      <c r="C64" s="8"/>
      <c r="D64" s="8"/>
      <c r="E64" s="8"/>
      <c r="F64" s="9"/>
      <c r="G64" s="5"/>
    </row>
    <row r="65" spans="1:7" ht="16.05" customHeight="1">
      <c r="A65" s="5"/>
      <c r="B65" s="5"/>
      <c r="C65" s="8"/>
      <c r="D65" s="8"/>
      <c r="E65" s="8"/>
      <c r="F65" s="9"/>
      <c r="G65" s="5"/>
    </row>
    <row r="66" spans="1:7" ht="16.05" customHeight="1">
      <c r="A66" s="5"/>
      <c r="B66" s="5"/>
      <c r="C66" s="8"/>
      <c r="D66" s="8"/>
      <c r="E66" s="8"/>
      <c r="F66" s="9"/>
      <c r="G66" s="5"/>
    </row>
    <row r="67" spans="1:7" ht="16.05" customHeight="1">
      <c r="A67" s="5"/>
      <c r="B67" s="5"/>
      <c r="C67" s="8"/>
      <c r="D67" s="8"/>
      <c r="E67" s="8"/>
      <c r="F67" s="9"/>
      <c r="G67" s="5"/>
    </row>
    <row r="68" spans="1:7" ht="16.05" customHeight="1">
      <c r="A68" s="5"/>
      <c r="B68" s="5"/>
      <c r="C68" s="8"/>
      <c r="D68" s="8"/>
      <c r="E68" s="8"/>
      <c r="F68" s="9"/>
      <c r="G68" s="5"/>
    </row>
    <row r="69" spans="1:7" ht="16.05" customHeight="1">
      <c r="A69" s="5"/>
      <c r="B69" s="5"/>
      <c r="C69" s="8"/>
      <c r="D69" s="8"/>
      <c r="E69" s="8"/>
      <c r="F69" s="9"/>
      <c r="G69" s="5"/>
    </row>
    <row r="70" spans="1:7" ht="16.05" customHeight="1">
      <c r="A70" s="5"/>
      <c r="B70" s="5"/>
      <c r="C70" s="8"/>
      <c r="D70" s="8"/>
      <c r="E70" s="8"/>
      <c r="F70" s="9"/>
      <c r="G70" s="5"/>
    </row>
    <row r="71" spans="1:7" ht="16.05" customHeight="1">
      <c r="A71" s="5"/>
      <c r="B71" s="5"/>
      <c r="C71" s="8"/>
      <c r="D71" s="8"/>
      <c r="E71" s="8"/>
      <c r="F71" s="9"/>
      <c r="G71" s="5"/>
    </row>
    <row r="72" spans="1:7" ht="16.05" customHeight="1">
      <c r="A72" s="5"/>
      <c r="B72" s="5"/>
      <c r="C72" s="8"/>
      <c r="D72" s="8"/>
      <c r="E72" s="8"/>
      <c r="F72" s="9"/>
      <c r="G72" s="5"/>
    </row>
    <row r="73" spans="1:7" ht="16.05" customHeight="1">
      <c r="A73" s="5"/>
      <c r="B73" s="5"/>
      <c r="C73" s="8"/>
      <c r="D73" s="8"/>
      <c r="E73" s="8"/>
      <c r="F73" s="9"/>
      <c r="G73" s="5"/>
    </row>
    <row r="74" spans="1:7" ht="16.05" customHeight="1">
      <c r="A74" s="5"/>
      <c r="B74" s="5"/>
      <c r="C74" s="8"/>
      <c r="D74" s="8"/>
      <c r="E74" s="8"/>
      <c r="F74" s="9"/>
      <c r="G74" s="5"/>
    </row>
    <row r="75" spans="1:7" ht="16.05" customHeight="1">
      <c r="A75" s="5"/>
      <c r="B75" s="5"/>
      <c r="C75" s="8"/>
      <c r="D75" s="8"/>
      <c r="E75" s="8"/>
      <c r="F75" s="9"/>
      <c r="G75" s="5"/>
    </row>
    <row r="76" spans="1:7" ht="16.05" customHeight="1">
      <c r="A76" s="5"/>
      <c r="B76" s="5"/>
      <c r="C76" s="8"/>
      <c r="D76" s="8"/>
      <c r="E76" s="8"/>
      <c r="F76" s="9"/>
      <c r="G76" s="5"/>
    </row>
    <row r="77" spans="1:7" ht="16.05" customHeight="1">
      <c r="A77" s="5"/>
      <c r="B77" s="5"/>
      <c r="C77" s="8"/>
      <c r="D77" s="8"/>
      <c r="E77" s="8"/>
      <c r="F77" s="9"/>
      <c r="G77" s="5"/>
    </row>
    <row r="78" spans="1:7" ht="16.05" customHeight="1">
      <c r="A78" s="5"/>
      <c r="B78" s="5"/>
      <c r="C78" s="8"/>
      <c r="D78" s="8"/>
      <c r="E78" s="8"/>
      <c r="F78" s="9"/>
      <c r="G78" s="5"/>
    </row>
    <row r="79" spans="1:7" ht="16.05" customHeight="1">
      <c r="A79" s="5"/>
      <c r="B79" s="5"/>
      <c r="C79" s="8"/>
      <c r="D79" s="8"/>
      <c r="E79" s="8"/>
      <c r="F79" s="9"/>
      <c r="G79" s="5"/>
    </row>
    <row r="80" spans="1:7" ht="16.05" customHeight="1">
      <c r="A80" s="5"/>
      <c r="B80" s="5"/>
      <c r="C80" s="8"/>
      <c r="D80" s="8"/>
      <c r="E80" s="8"/>
      <c r="F80" s="9"/>
      <c r="G80" s="5"/>
    </row>
    <row r="81" spans="1:7" ht="16.05" customHeight="1">
      <c r="A81" s="5"/>
      <c r="B81" s="5"/>
      <c r="C81" s="8"/>
      <c r="D81" s="8"/>
      <c r="E81" s="8"/>
      <c r="F81" s="9"/>
      <c r="G81" s="5"/>
    </row>
    <row r="82" spans="1:7" ht="16.05" customHeight="1">
      <c r="A82" s="5"/>
      <c r="B82" s="5"/>
      <c r="C82" s="8"/>
      <c r="D82" s="8"/>
      <c r="E82" s="8"/>
      <c r="F82" s="9"/>
      <c r="G82" s="5"/>
    </row>
    <row r="83" spans="1:7" ht="16.05" customHeight="1">
      <c r="A83" s="5"/>
      <c r="B83" s="5"/>
      <c r="C83" s="8"/>
      <c r="D83" s="8"/>
      <c r="E83" s="8"/>
      <c r="F83" s="9"/>
      <c r="G83" s="5"/>
    </row>
    <row r="84" spans="1:7" ht="16.05" customHeight="1">
      <c r="A84" s="5"/>
      <c r="B84" s="5"/>
      <c r="C84" s="8"/>
      <c r="D84" s="8"/>
      <c r="E84" s="8"/>
      <c r="F84" s="9"/>
      <c r="G84" s="5"/>
    </row>
    <row r="85" spans="1:7" ht="16.05" customHeight="1">
      <c r="A85" s="5"/>
      <c r="B85" s="5"/>
      <c r="C85" s="8"/>
      <c r="D85" s="8"/>
      <c r="E85" s="8"/>
      <c r="F85" s="9"/>
      <c r="G85" s="5"/>
    </row>
    <row r="86" spans="1:7" ht="16.05" customHeight="1">
      <c r="A86" s="5"/>
      <c r="B86" s="5"/>
      <c r="C86" s="8"/>
      <c r="D86" s="8"/>
      <c r="E86" s="8"/>
      <c r="F86" s="9"/>
      <c r="G86" s="5"/>
    </row>
    <row r="87" spans="1:7" ht="16.05" customHeight="1">
      <c r="A87" s="5"/>
      <c r="B87" s="5"/>
      <c r="C87" s="8"/>
      <c r="D87" s="8"/>
      <c r="E87" s="8"/>
      <c r="F87" s="9"/>
      <c r="G87" s="5"/>
    </row>
    <row r="88" spans="1:7" ht="16.05" customHeight="1">
      <c r="A88" s="5"/>
      <c r="B88" s="5"/>
      <c r="C88" s="8"/>
      <c r="D88" s="8"/>
      <c r="E88" s="8"/>
      <c r="F88" s="9"/>
      <c r="G88" s="5"/>
    </row>
    <row r="89" spans="1:7" ht="16.05" customHeight="1">
      <c r="A89" s="5"/>
      <c r="B89" s="5"/>
      <c r="C89" s="8"/>
      <c r="D89" s="8"/>
      <c r="E89" s="8"/>
      <c r="F89" s="9"/>
      <c r="G89" s="5"/>
    </row>
    <row r="90" spans="1:7" ht="16.05" customHeight="1">
      <c r="A90" s="5"/>
      <c r="B90" s="5"/>
      <c r="C90" s="8"/>
      <c r="D90" s="8"/>
      <c r="E90" s="8"/>
      <c r="F90" s="9"/>
      <c r="G90" s="5"/>
    </row>
    <row r="91" spans="1:7" ht="16.05" customHeight="1">
      <c r="A91" s="5"/>
      <c r="B91" s="5"/>
      <c r="C91" s="8"/>
      <c r="D91" s="8"/>
      <c r="E91" s="8"/>
      <c r="F91" s="9"/>
      <c r="G91" s="5"/>
    </row>
    <row r="92" spans="1:7" ht="16.05" customHeight="1">
      <c r="A92" s="5"/>
      <c r="B92" s="5"/>
      <c r="C92" s="8"/>
      <c r="D92" s="8"/>
      <c r="E92" s="8"/>
      <c r="F92" s="9"/>
      <c r="G92" s="5"/>
    </row>
    <row r="93" spans="1:7" ht="16.05" customHeight="1">
      <c r="A93" s="5"/>
      <c r="B93" s="5"/>
      <c r="C93" s="8"/>
      <c r="D93" s="8"/>
      <c r="E93" s="8"/>
      <c r="F93" s="9"/>
      <c r="G93" s="5"/>
    </row>
    <row r="94" spans="1:7" ht="16.05" customHeight="1">
      <c r="A94" s="5"/>
      <c r="B94" s="5"/>
      <c r="C94" s="8"/>
      <c r="D94" s="8"/>
      <c r="E94" s="8"/>
      <c r="F94" s="9"/>
      <c r="G94" s="5"/>
    </row>
    <row r="95" spans="1:7" ht="16.05" customHeight="1">
      <c r="A95" s="5"/>
      <c r="B95" s="5"/>
      <c r="C95" s="8"/>
      <c r="D95" s="8"/>
      <c r="E95" s="8"/>
      <c r="F95" s="9"/>
      <c r="G95" s="5"/>
    </row>
    <row r="96" spans="1:7" ht="16.05" customHeight="1">
      <c r="A96" s="5"/>
      <c r="B96" s="5"/>
      <c r="C96" s="8"/>
      <c r="D96" s="8"/>
      <c r="E96" s="8"/>
      <c r="F96" s="9"/>
      <c r="G96" s="5"/>
    </row>
    <row r="97" spans="1:7" ht="16.05" customHeight="1">
      <c r="A97" s="5"/>
      <c r="B97" s="5"/>
      <c r="C97" s="8"/>
      <c r="D97" s="8"/>
      <c r="E97" s="8"/>
      <c r="F97" s="9"/>
      <c r="G97" s="5"/>
    </row>
    <row r="98" spans="1:7" ht="16.05" customHeight="1">
      <c r="A98" s="5"/>
      <c r="B98" s="5"/>
      <c r="C98" s="8"/>
      <c r="D98" s="8"/>
      <c r="E98" s="8"/>
      <c r="F98" s="9"/>
      <c r="G98" s="5"/>
    </row>
    <row r="99" spans="1:7" ht="16.05" customHeight="1">
      <c r="A99" s="5"/>
      <c r="B99" s="5"/>
      <c r="C99" s="8"/>
      <c r="D99" s="8"/>
      <c r="E99" s="8"/>
      <c r="F99" s="9"/>
      <c r="G99" s="5"/>
    </row>
    <row r="100" spans="1:7" ht="16.05" customHeight="1">
      <c r="A100" s="5"/>
      <c r="B100" s="5"/>
      <c r="C100" s="8"/>
      <c r="D100" s="8"/>
      <c r="E100" s="8"/>
      <c r="F100" s="9"/>
      <c r="G100" s="5"/>
    </row>
    <row r="101" spans="1:7" ht="16.05" customHeight="1">
      <c r="A101" s="5"/>
      <c r="B101" s="5"/>
      <c r="C101" s="8"/>
      <c r="D101" s="8"/>
      <c r="E101" s="8"/>
      <c r="F101" s="9"/>
      <c r="G101" s="5"/>
    </row>
    <row r="102" spans="1:7" ht="16.05" customHeight="1">
      <c r="A102" s="5"/>
      <c r="B102" s="5"/>
      <c r="C102" s="8"/>
      <c r="D102" s="8"/>
      <c r="E102" s="8"/>
      <c r="F102" s="9"/>
      <c r="G102" s="5"/>
    </row>
    <row r="103" spans="1:7" ht="16.05" customHeight="1">
      <c r="A103" s="5"/>
      <c r="B103" s="5"/>
      <c r="C103" s="8"/>
      <c r="D103" s="8"/>
      <c r="E103" s="8"/>
      <c r="F103" s="9"/>
      <c r="G103" s="5"/>
    </row>
    <row r="104" spans="1:7" ht="16.05" customHeight="1">
      <c r="A104" s="5"/>
      <c r="B104" s="5"/>
      <c r="C104" s="8"/>
      <c r="D104" s="8"/>
      <c r="E104" s="8"/>
      <c r="F104" s="9"/>
      <c r="G104" s="5"/>
    </row>
    <row r="105" spans="1:7" ht="16.05" customHeight="1">
      <c r="A105" s="5"/>
      <c r="B105" s="5"/>
      <c r="C105" s="8"/>
      <c r="D105" s="8"/>
      <c r="E105" s="8"/>
      <c r="F105" s="9"/>
      <c r="G105" s="5"/>
    </row>
  </sheetData>
  <mergeCells count="2">
    <mergeCell ref="A1:G1"/>
    <mergeCell ref="A2:G3"/>
  </mergeCells>
  <conditionalFormatting sqref="F6:F105">
    <cfRule type="dataBar" priority="1">
      <dataBar>
        <cfvo type="min"/>
        <cfvo type="max"/>
        <color rgb="FFC95687"/>
      </dataBar>
    </cfRule>
    <cfRule type="dataBar" priority="2">
      <dataBar>
        <cfvo type="min"/>
        <cfvo type="max"/>
        <color rgb="FFC95687"/>
      </dataBar>
      <extLst>
        <ext xmlns:x14="http://schemas.microsoft.com/office/spreadsheetml/2009/9/main" uri="{B025F937-C7B1-47D3-B67F-A62EFF666E3E}">
          <x14:id>{905C37A3-F17B-1295-A775-19807E1C5212}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05C37A3-F17B-1295-A775-19807E1C5212}">
            <x14:dataBar>
              <x14:cfvo type="min"/>
              <x14:cfvo type="max"/>
              <x14:negativeFillColor auto="1"/>
              <x14:axisColor auto="1"/>
            </x14:dataBar>
          </x14:cfRule>
          <xm:sqref>F6:F105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heetViews>
  <sheetFormatPr defaultRowHeight="13.8"/>
  <cols>
    <col min="1" max="1" width="8" customWidth="1"/>
    <col min="2" max="2" width="20" customWidth="1"/>
    <col min="3" max="6" width="26" customWidth="1"/>
  </cols>
  <sheetData>
    <row r="1" spans="1:6" ht="24" customHeight="1">
      <c r="A1" s="16" t="s">
        <v>84</v>
      </c>
      <c r="B1" s="16"/>
      <c r="C1" s="16"/>
      <c r="D1" s="16"/>
      <c r="E1" s="16"/>
      <c r="F1" s="16"/>
    </row>
    <row r="3" spans="1:6">
      <c r="A3" s="21" t="s">
        <v>85</v>
      </c>
      <c r="B3" s="21"/>
      <c r="C3" s="21" t="s">
        <v>86</v>
      </c>
      <c r="D3" s="21"/>
      <c r="E3" s="21"/>
      <c r="F3" s="21"/>
    </row>
    <row r="4" spans="1:6" ht="36" customHeight="1">
      <c r="A4" s="1" t="s">
        <v>87</v>
      </c>
      <c r="B4" s="1" t="s">
        <v>88</v>
      </c>
      <c r="C4" s="22" t="s">
        <v>89</v>
      </c>
      <c r="D4" s="22"/>
      <c r="E4" s="22"/>
      <c r="F4" s="22"/>
    </row>
    <row r="5" spans="1:6" ht="36" customHeight="1">
      <c r="A5" s="1" t="s">
        <v>90</v>
      </c>
      <c r="B5" s="1" t="s">
        <v>91</v>
      </c>
      <c r="C5" s="22" t="s">
        <v>92</v>
      </c>
      <c r="D5" s="22"/>
      <c r="E5" s="22"/>
      <c r="F5" s="22"/>
    </row>
    <row r="6" spans="1:6" ht="36" customHeight="1">
      <c r="A6" s="1" t="s">
        <v>93</v>
      </c>
      <c r="B6" s="1" t="s">
        <v>94</v>
      </c>
      <c r="C6" s="22" t="s">
        <v>95</v>
      </c>
      <c r="D6" s="22"/>
      <c r="E6" s="22"/>
      <c r="F6" s="22"/>
    </row>
    <row r="7" spans="1:6" ht="36" customHeight="1">
      <c r="A7" s="1" t="s">
        <v>96</v>
      </c>
      <c r="B7" s="1" t="s">
        <v>97</v>
      </c>
      <c r="C7" s="22" t="s">
        <v>98</v>
      </c>
      <c r="D7" s="22"/>
      <c r="E7" s="22"/>
      <c r="F7" s="22"/>
    </row>
    <row r="8" spans="1:6" ht="36" customHeight="1">
      <c r="A8" s="1" t="s">
        <v>99</v>
      </c>
      <c r="B8" s="1" t="s">
        <v>100</v>
      </c>
      <c r="C8" s="22" t="s">
        <v>101</v>
      </c>
      <c r="D8" s="22"/>
      <c r="E8" s="22"/>
      <c r="F8" s="22"/>
    </row>
    <row r="9" spans="1:6" ht="36" customHeight="1">
      <c r="A9" s="1" t="s">
        <v>102</v>
      </c>
      <c r="B9" s="1" t="s">
        <v>103</v>
      </c>
      <c r="C9" s="22" t="s">
        <v>104</v>
      </c>
      <c r="D9" s="22"/>
      <c r="E9" s="22"/>
      <c r="F9" s="22"/>
    </row>
    <row r="11" spans="1:6" ht="43.95" customHeight="1">
      <c r="A11" s="23" t="s">
        <v>105</v>
      </c>
      <c r="B11" s="23"/>
      <c r="C11" s="23"/>
      <c r="D11" s="23"/>
      <c r="E11" s="23"/>
      <c r="F11" s="23"/>
    </row>
  </sheetData>
  <mergeCells count="10">
    <mergeCell ref="C6:F6"/>
    <mergeCell ref="C7:F7"/>
    <mergeCell ref="C8:F8"/>
    <mergeCell ref="C9:F9"/>
    <mergeCell ref="A11:F11"/>
    <mergeCell ref="A1:F1"/>
    <mergeCell ref="A3:B3"/>
    <mergeCell ref="C3:F3"/>
    <mergeCell ref="C4:F4"/>
    <mergeCell ref="C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Meal Tracker</vt:lpstr>
      <vt:lpstr>Food Database</vt:lpstr>
      <vt:lpstr>Cheat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commissionbystella@gmail.com</cp:lastModifiedBy>
  <dcterms:modified xsi:type="dcterms:W3CDTF">2026-07-14T06:30:15Z</dcterms:modified>
</cp:coreProperties>
</file>